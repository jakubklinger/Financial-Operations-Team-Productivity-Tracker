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jakub\Desktop\Excel\"/>
    </mc:Choice>
  </mc:AlternateContent>
  <xr:revisionPtr revIDLastSave="0" documentId="8_{8653B36C-C3FF-4579-823F-AC5D36D7BA35}" xr6:coauthVersionLast="47" xr6:coauthVersionMax="47" xr10:uidLastSave="{00000000-0000-0000-0000-000000000000}"/>
  <bookViews>
    <workbookView xWindow="-110" yWindow="-110" windowWidth="25820" windowHeight="15500" xr2:uid="{CA15C5BC-49BA-4A69-B931-FE903C6D2954}"/>
  </bookViews>
  <sheets>
    <sheet name="Dashboard" sheetId="1" r:id="rId1"/>
    <sheet name="Chart" sheetId="4" r:id="rId2"/>
    <sheet name="Feedback" sheetId="2" r:id="rId3"/>
    <sheet name="License" sheetId="5" r:id="rId4"/>
  </sheets>
  <definedNames>
    <definedName name="_xleta.TEXT" hidden="1" xlm="1">#NAME?</definedName>
    <definedName name="_xlpm.d" hidden="1" xlm="1">#NAME?</definedName>
    <definedName name="_xlpm.p" hidden="1" xlm="1">#NAME?</definedName>
  </definedNames>
  <calcPr calcId="191029"/>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L7" i="1" l="1"/>
  <c r="M7" i="1" s="1"/>
  <c r="L6" i="1"/>
  <c r="M6" i="1" s="1"/>
  <c r="L5" i="1"/>
  <c r="M5" i="1"/>
  <c r="L4" i="1"/>
  <c r="M4" i="1" s="1"/>
  <c r="O13" i="1" l="1"/>
  <c r="P13" i="1"/>
  <c r="Q13" i="1"/>
  <c r="S13" i="1" l="1"/>
  <c r="R13" i="1"/>
</calcChain>
</file>

<file path=xl/sharedStrings.xml><?xml version="1.0" encoding="utf-8"?>
<sst xmlns="http://schemas.openxmlformats.org/spreadsheetml/2006/main" count="44" uniqueCount="35">
  <si>
    <t>Today's AHT</t>
  </si>
  <si>
    <t>Today's Productivity</t>
  </si>
  <si>
    <t>Average AHT</t>
  </si>
  <si>
    <t>Date</t>
  </si>
  <si>
    <t>Maintenance</t>
  </si>
  <si>
    <t>Correspondence</t>
  </si>
  <si>
    <t>Account
Creation</t>
  </si>
  <si>
    <t>Transfers</t>
  </si>
  <si>
    <t>Purchase</t>
  </si>
  <si>
    <t>Redemption</t>
  </si>
  <si>
    <t>Statements &amp;
 Tax Docs</t>
  </si>
  <si>
    <t>AML &amp;
 Risk Assestment</t>
  </si>
  <si>
    <t>Escheatment</t>
  </si>
  <si>
    <t>Select Task Type</t>
  </si>
  <si>
    <t>Special Needs
 Services</t>
  </si>
  <si>
    <t>AHT</t>
  </si>
  <si>
    <t>Productivity</t>
  </si>
  <si>
    <t>Top Productivity</t>
  </si>
  <si>
    <t>Average Productivity</t>
  </si>
  <si>
    <t>Weight</t>
  </si>
  <si>
    <t>Worktype</t>
  </si>
  <si>
    <t>Grand Total</t>
  </si>
  <si>
    <t>Sum of Productivity</t>
  </si>
  <si>
    <t>Account Creation</t>
  </si>
  <si>
    <t>Special Services</t>
  </si>
  <si>
    <t>Statements &amp; Tax Docs</t>
  </si>
  <si>
    <t>AML &amp; Risk Assesment</t>
  </si>
  <si>
    <t>(blank)</t>
  </si>
  <si>
    <t>Feedback Type</t>
  </si>
  <si>
    <t>Technical</t>
  </si>
  <si>
    <t>Visual</t>
  </si>
  <si>
    <t>Errors</t>
  </si>
  <si>
    <t>Other</t>
  </si>
  <si>
    <t>Comment</t>
  </si>
  <si>
    <t>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</si>
</sst>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dd;@"/>
  </numFmts>
  <fonts count="4" x14ac:knownFonts="1">
    <font>
      <sz val="11"/>
      <color theme="1"/>
      <name val="Aptos Narrow"/>
      <family val="2"/>
      <charset val="238"/>
      <scheme val="minor"/>
    </font>
    <font>
      <b/>
      <sz val="11"/>
      <color theme="1"/>
      <name val="Aptos Narrow"/>
      <family val="2"/>
      <charset val="238"/>
      <scheme val="minor"/>
    </font>
    <font>
      <sz val="11"/>
      <color theme="4" tint="0.39997558519241921"/>
      <name val="Aptos Narrow"/>
      <family val="2"/>
      <charset val="238"/>
      <scheme val="minor"/>
    </font>
    <font>
      <b/>
      <sz val="14"/>
      <color theme="1"/>
      <name val="Aptos Narrow"/>
      <family val="2"/>
      <charset val="238"/>
      <scheme val="minor"/>
    </font>
  </fonts>
  <fills count="11">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rgb="FF00B050"/>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0"/>
        <bgColor indexed="64"/>
      </patternFill>
    </fill>
  </fills>
  <borders count="1">
    <border>
      <left/>
      <right/>
      <top/>
      <bottom/>
      <diagonal/>
    </border>
  </borders>
  <cellStyleXfs count="1">
    <xf numFmtId="0" fontId="0" fillId="0" borderId="0"/>
  </cellStyleXfs>
  <cellXfs count="24">
    <xf numFmtId="0" fontId="0" fillId="0" borderId="0" xfId="0"/>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0" fontId="0" fillId="2" borderId="0" xfId="0" applyFill="1" applyAlignment="1">
      <alignment horizontal="center" vertical="center"/>
    </xf>
    <xf numFmtId="0" fontId="2" fillId="2" borderId="0" xfId="0" applyFont="1" applyFill="1" applyAlignment="1">
      <alignment horizontal="center"/>
    </xf>
    <xf numFmtId="0" fontId="3" fillId="3" borderId="0" xfId="0" applyFont="1" applyFill="1" applyAlignment="1">
      <alignment horizontal="center" vertical="center"/>
    </xf>
    <xf numFmtId="10"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0" fontId="3" fillId="4" borderId="0" xfId="0" applyFont="1" applyFill="1" applyAlignment="1">
      <alignment horizontal="center" vertical="center" wrapText="1"/>
    </xf>
    <xf numFmtId="14" fontId="1" fillId="0" borderId="0" xfId="0" applyNumberFormat="1" applyFont="1" applyAlignment="1">
      <alignment horizontal="left" vertical="top"/>
    </xf>
    <xf numFmtId="164" fontId="1" fillId="0" borderId="0" xfId="0" applyNumberFormat="1" applyFont="1" applyAlignment="1">
      <alignment horizontal="left" vertical="top"/>
    </xf>
    <xf numFmtId="0" fontId="0" fillId="3" borderId="0" xfId="0" applyFill="1"/>
    <xf numFmtId="14" fontId="0" fillId="3" borderId="0" xfId="0" applyNumberFormat="1" applyFill="1" applyAlignment="1">
      <alignment horizontal="left" vertical="top"/>
    </xf>
    <xf numFmtId="14" fontId="0" fillId="3" borderId="0" xfId="0" applyNumberFormat="1" applyFill="1" applyAlignment="1">
      <alignment horizontal="left"/>
    </xf>
    <xf numFmtId="0" fontId="0" fillId="5" borderId="0" xfId="0" applyFill="1"/>
    <xf numFmtId="0" fontId="1" fillId="7" borderId="0" xfId="0" applyFont="1" applyFill="1"/>
    <xf numFmtId="0" fontId="1" fillId="6" borderId="0" xfId="0" applyFont="1" applyFill="1"/>
    <xf numFmtId="0" fontId="0" fillId="8" borderId="0" xfId="0" applyFill="1"/>
    <xf numFmtId="0" fontId="1" fillId="9" borderId="0" xfId="0" applyFont="1" applyFill="1"/>
    <xf numFmtId="0" fontId="0" fillId="10" borderId="0" xfId="0" applyFill="1" applyAlignment="1">
      <alignment horizontal="left"/>
    </xf>
    <xf numFmtId="10" fontId="0" fillId="10" borderId="0" xfId="0" applyNumberFormat="1" applyFill="1"/>
  </cellXfs>
  <cellStyles count="1">
    <cellStyle name="Normal" xfId="0" builtinId="0"/>
  </cellStyles>
  <dxfs count="18">
    <dxf>
      <font>
        <color rgb="FF9C5700"/>
      </font>
      <fill>
        <patternFill>
          <bgColor rgb="FFFFEB9C"/>
        </patternFill>
      </fill>
    </dxf>
    <dxf>
      <font>
        <color rgb="FFFF0000"/>
      </font>
      <fill>
        <patternFill>
          <bgColor rgb="FFCCCCFF"/>
        </patternFill>
      </fill>
    </dxf>
    <dxf>
      <font>
        <color theme="8" tint="-0.24994659260841701"/>
      </font>
      <fill>
        <patternFill>
          <bgColor rgb="FFFFCCFF"/>
        </patternFill>
      </fill>
    </dxf>
    <dxf>
      <font>
        <color theme="3" tint="0.24994659260841701"/>
      </font>
      <fill>
        <patternFill>
          <bgColor theme="7" tint="0.79998168889431442"/>
        </patternFill>
      </fill>
    </dxf>
    <dxf>
      <fill>
        <patternFill patternType="solid">
          <bgColor theme="0"/>
        </patternFill>
      </fill>
    </dxf>
    <dxf>
      <fill>
        <patternFill patternType="solid">
          <bgColor theme="0"/>
        </patternFill>
      </fill>
    </dxf>
    <dxf>
      <numFmt numFmtId="14" formatCode="0.00%"/>
    </dxf>
    <dxf>
      <numFmt numFmtId="14" formatCode="0.00%"/>
    </dxf>
    <dxf>
      <numFmt numFmtId="0" formatCode="General"/>
    </dxf>
    <dxf>
      <numFmt numFmtId="0" formatCode="General"/>
    </dxf>
    <dxf>
      <font>
        <b/>
      </font>
      <numFmt numFmtId="164" formatCode="yy\-mm\-dd;@"/>
      <alignment horizontal="left" vertical="top" textRotation="0" wrapText="0" indent="0" justifyLastLine="0" shrinkToFit="0" readingOrder="0"/>
    </dxf>
    <dxf>
      <alignment horizontal="center" vertical="center" textRotation="0" wrapText="0" indent="0" justifyLastLine="0" shrinkToFit="0" readingOrder="0"/>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colors>
    <mruColors>
      <color rgb="FFCCCC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[Productivity Tracker Github 1.0  With Macros.xlsm]Chart!PivotTable1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Chart!$B$3</c:f>
              <c:strCache>
                <c:ptCount val="1"/>
                <c:pt idx="0">
                  <c:v>Total</c:v>
                </c:pt>
              </c:strCache>
            </c:strRef>
          </c:tx>
          <c:spPr>
            <a:solidFill>
              <a:schemeClr val="accent3"/>
            </a:solidFill>
            <a:ln>
              <a:noFill/>
            </a:ln>
            <a:effectLst/>
            <a:sp3d/>
          </c:spPr>
          <c:invertIfNegative val="0"/>
          <c:cat>
            <c:strRef>
              <c:f>Chart!$A$4:$A$9</c:f>
              <c:strCache>
                <c:ptCount val="5"/>
                <c:pt idx="0">
                  <c:v>31.08.2026</c:v>
                </c:pt>
                <c:pt idx="1">
                  <c:v>1.09.2026</c:v>
                </c:pt>
                <c:pt idx="2">
                  <c:v>2.09.2026</c:v>
                </c:pt>
                <c:pt idx="3">
                  <c:v>3.09.2026</c:v>
                </c:pt>
                <c:pt idx="4">
                  <c:v>(blank)</c:v>
                </c:pt>
              </c:strCache>
            </c:strRef>
          </c:cat>
          <c:val>
            <c:numRef>
              <c:f>Chart!$B$4:$B$9</c:f>
              <c:numCache>
                <c:formatCode>0.00%</c:formatCode>
                <c:ptCount val="5"/>
                <c:pt idx="0">
                  <c:v>0.48</c:v>
                </c:pt>
                <c:pt idx="1">
                  <c:v>1.1599999999999999</c:v>
                </c:pt>
                <c:pt idx="2">
                  <c:v>0.91</c:v>
                </c:pt>
                <c:pt idx="3">
                  <c:v>0.64</c:v>
                </c:pt>
              </c:numCache>
            </c:numRef>
          </c:val>
          <c:extLst>
            <c:ext xmlns:c16="http://schemas.microsoft.com/office/drawing/2014/chart" uri="{C3380CC4-5D6E-409C-BE32-E72D297353CC}">
              <c16:uniqueId val="{00000000-9727-4AC9-A117-6B880783C966}"/>
            </c:ext>
          </c:extLst>
        </c:ser>
        <c:dLbls>
          <c:showLegendKey val="0"/>
          <c:showVal val="0"/>
          <c:showCatName val="0"/>
          <c:showSerName val="0"/>
          <c:showPercent val="0"/>
          <c:showBubbleSize val="0"/>
        </c:dLbls>
        <c:gapWidth val="150"/>
        <c:shape val="box"/>
        <c:axId val="1340072271"/>
        <c:axId val="1045465071"/>
        <c:axId val="0"/>
      </c:bar3DChart>
      <c:catAx>
        <c:axId val="13400722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65071"/>
        <c:crosses val="autoZero"/>
        <c:auto val="1"/>
        <c:lblAlgn val="ctr"/>
        <c:lblOffset val="100"/>
        <c:noMultiLvlLbl val="0"/>
      </c:catAx>
      <c:valAx>
        <c:axId val="104546507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0072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13</xdr:col>
      <xdr:colOff>0</xdr:colOff>
      <xdr:row>1</xdr:row>
      <xdr:rowOff>1390650</xdr:rowOff>
    </xdr:from>
    <xdr:to>
      <xdr:col>25</xdr:col>
      <xdr:colOff>0</xdr:colOff>
      <xdr:row>16</xdr:row>
      <xdr:rowOff>0</xdr:rowOff>
    </xdr:to>
    <xdr:sp macro="" textlink="">
      <xdr:nvSpPr>
        <xdr:cNvPr id="19" name="Prostokąt 70">
          <a:extLst>
            <a:ext uri="{FF2B5EF4-FFF2-40B4-BE49-F238E27FC236}">
              <a16:creationId xmlns:a16="http://schemas.microsoft.com/office/drawing/2014/main" id="{42B20949-3AC0-42D9-B19F-3BF13B4C5C64}"/>
            </a:ext>
          </a:extLst>
        </xdr:cNvPr>
        <xdr:cNvSpPr/>
      </xdr:nvSpPr>
      <xdr:spPr>
        <a:xfrm>
          <a:off x="11474450" y="1873250"/>
          <a:ext cx="8788400" cy="2965450"/>
        </a:xfrm>
        <a:prstGeom prst="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0</xdr:col>
      <xdr:colOff>19050</xdr:colOff>
      <xdr:row>0</xdr:row>
      <xdr:rowOff>19050</xdr:rowOff>
    </xdr:from>
    <xdr:to>
      <xdr:col>13</xdr:col>
      <xdr:colOff>6350</xdr:colOff>
      <xdr:row>0</xdr:row>
      <xdr:rowOff>393700</xdr:rowOff>
    </xdr:to>
    <xdr:sp macro="" textlink="">
      <xdr:nvSpPr>
        <xdr:cNvPr id="2" name="pole tekstowe 1">
          <a:extLst>
            <a:ext uri="{FF2B5EF4-FFF2-40B4-BE49-F238E27FC236}">
              <a16:creationId xmlns:a16="http://schemas.microsoft.com/office/drawing/2014/main" id="{3CCE0105-2621-6301-4FE6-94AA4289FD7C}"/>
            </a:ext>
          </a:extLst>
        </xdr:cNvPr>
        <xdr:cNvSpPr txBox="1"/>
      </xdr:nvSpPr>
      <xdr:spPr>
        <a:xfrm>
          <a:off x="19050" y="19050"/>
          <a:ext cx="125857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800" b="1">
              <a:solidFill>
                <a:schemeClr val="bg1"/>
              </a:solidFill>
            </a:rPr>
            <a:t>Financial</a:t>
          </a:r>
          <a:r>
            <a:rPr lang="pl-PL" sz="1800" b="1" baseline="0">
              <a:solidFill>
                <a:schemeClr val="bg1"/>
              </a:solidFill>
            </a:rPr>
            <a:t> Operations Team Productivity Tracker (ver 1.0)</a:t>
          </a:r>
          <a:endParaRPr lang="pl-PL" sz="1800" b="1">
            <a:solidFill>
              <a:schemeClr val="bg1"/>
            </a:solidFill>
          </a:endParaRPr>
        </a:p>
      </xdr:txBody>
    </xdr:sp>
    <xdr:clientData/>
  </xdr:twoCellAnchor>
  <xdr:twoCellAnchor>
    <xdr:from>
      <xdr:col>0</xdr:col>
      <xdr:colOff>527050</xdr:colOff>
      <xdr:row>1</xdr:row>
      <xdr:rowOff>44450</xdr:rowOff>
    </xdr:from>
    <xdr:to>
      <xdr:col>2</xdr:col>
      <xdr:colOff>742950</xdr:colOff>
      <xdr:row>1</xdr:row>
      <xdr:rowOff>565150</xdr:rowOff>
    </xdr:to>
    <xdr:sp macro="" textlink="">
      <xdr:nvSpPr>
        <xdr:cNvPr id="4" name="Prostokąt: zaokrąglone rogi 3">
          <a:extLst>
            <a:ext uri="{FF2B5EF4-FFF2-40B4-BE49-F238E27FC236}">
              <a16:creationId xmlns:a16="http://schemas.microsoft.com/office/drawing/2014/main" id="{E1687538-20AA-B6B5-114C-0EA4E0F0108F}"/>
            </a:ext>
          </a:extLst>
        </xdr:cNvPr>
        <xdr:cNvSpPr/>
      </xdr:nvSpPr>
      <xdr:spPr>
        <a:xfrm>
          <a:off x="527050" y="527050"/>
          <a:ext cx="1879600" cy="520700"/>
        </a:xfrm>
        <a:prstGeom prst="round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0</xdr:col>
      <xdr:colOff>590550</xdr:colOff>
      <xdr:row>1</xdr:row>
      <xdr:rowOff>38100</xdr:rowOff>
    </xdr:from>
    <xdr:to>
      <xdr:col>2</xdr:col>
      <xdr:colOff>685800</xdr:colOff>
      <xdr:row>1</xdr:row>
      <xdr:rowOff>577850</xdr:rowOff>
    </xdr:to>
    <xdr:sp macro="" textlink="">
      <xdr:nvSpPr>
        <xdr:cNvPr id="7" name="pole tekstowe 6">
          <a:extLst>
            <a:ext uri="{FF2B5EF4-FFF2-40B4-BE49-F238E27FC236}">
              <a16:creationId xmlns:a16="http://schemas.microsoft.com/office/drawing/2014/main" id="{846625B7-8D11-4933-7E76-D096EB0FE7A2}"/>
            </a:ext>
          </a:extLst>
        </xdr:cNvPr>
        <xdr:cNvSpPr txBox="1"/>
      </xdr:nvSpPr>
      <xdr:spPr>
        <a:xfrm>
          <a:off x="590550" y="520700"/>
          <a:ext cx="175895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100" b="1">
              <a:solidFill>
                <a:schemeClr val="tx1"/>
              </a:solidFill>
            </a:rPr>
            <a:t>Today's AHT</a:t>
          </a:r>
        </a:p>
      </xdr:txBody>
    </xdr:sp>
    <xdr:clientData/>
  </xdr:twoCellAnchor>
  <xdr:twoCellAnchor>
    <xdr:from>
      <xdr:col>2</xdr:col>
      <xdr:colOff>984250</xdr:colOff>
      <xdr:row>1</xdr:row>
      <xdr:rowOff>44450</xdr:rowOff>
    </xdr:from>
    <xdr:to>
      <xdr:col>4</xdr:col>
      <xdr:colOff>654050</xdr:colOff>
      <xdr:row>1</xdr:row>
      <xdr:rowOff>565150</xdr:rowOff>
    </xdr:to>
    <xdr:sp macro="" textlink="">
      <xdr:nvSpPr>
        <xdr:cNvPr id="56" name="Prostokąt: zaokrąglone rogi 55">
          <a:extLst>
            <a:ext uri="{FF2B5EF4-FFF2-40B4-BE49-F238E27FC236}">
              <a16:creationId xmlns:a16="http://schemas.microsoft.com/office/drawing/2014/main" id="{1D8D0AB4-6281-4745-9261-5F19B6B36456}"/>
            </a:ext>
          </a:extLst>
        </xdr:cNvPr>
        <xdr:cNvSpPr/>
      </xdr:nvSpPr>
      <xdr:spPr>
        <a:xfrm>
          <a:off x="2647950" y="527050"/>
          <a:ext cx="1879600" cy="520700"/>
        </a:xfrm>
        <a:prstGeom prst="round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4</xdr:col>
      <xdr:colOff>895350</xdr:colOff>
      <xdr:row>1</xdr:row>
      <xdr:rowOff>44450</xdr:rowOff>
    </xdr:from>
    <xdr:to>
      <xdr:col>7</xdr:col>
      <xdr:colOff>203200</xdr:colOff>
      <xdr:row>1</xdr:row>
      <xdr:rowOff>565150</xdr:rowOff>
    </xdr:to>
    <xdr:sp macro="" textlink="">
      <xdr:nvSpPr>
        <xdr:cNvPr id="57" name="Prostokąt: zaokrąglone rogi 56">
          <a:extLst>
            <a:ext uri="{FF2B5EF4-FFF2-40B4-BE49-F238E27FC236}">
              <a16:creationId xmlns:a16="http://schemas.microsoft.com/office/drawing/2014/main" id="{F1C78A22-8D5C-4110-A127-7123DD31CD12}"/>
            </a:ext>
          </a:extLst>
        </xdr:cNvPr>
        <xdr:cNvSpPr/>
      </xdr:nvSpPr>
      <xdr:spPr>
        <a:xfrm>
          <a:off x="4768850" y="527050"/>
          <a:ext cx="1879600" cy="520700"/>
        </a:xfrm>
        <a:prstGeom prst="round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7</xdr:col>
      <xdr:colOff>444500</xdr:colOff>
      <xdr:row>1</xdr:row>
      <xdr:rowOff>44450</xdr:rowOff>
    </xdr:from>
    <xdr:to>
      <xdr:col>9</xdr:col>
      <xdr:colOff>349250</xdr:colOff>
      <xdr:row>1</xdr:row>
      <xdr:rowOff>565150</xdr:rowOff>
    </xdr:to>
    <xdr:sp macro="" textlink="">
      <xdr:nvSpPr>
        <xdr:cNvPr id="58" name="Prostokąt: zaokrąglone rogi 57">
          <a:extLst>
            <a:ext uri="{FF2B5EF4-FFF2-40B4-BE49-F238E27FC236}">
              <a16:creationId xmlns:a16="http://schemas.microsoft.com/office/drawing/2014/main" id="{2365D6B5-68BA-4D3E-81D4-190950134C13}"/>
            </a:ext>
          </a:extLst>
        </xdr:cNvPr>
        <xdr:cNvSpPr/>
      </xdr:nvSpPr>
      <xdr:spPr>
        <a:xfrm>
          <a:off x="6889750" y="527050"/>
          <a:ext cx="1879600" cy="520700"/>
        </a:xfrm>
        <a:prstGeom prst="round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9</xdr:col>
      <xdr:colOff>590550</xdr:colOff>
      <xdr:row>1</xdr:row>
      <xdr:rowOff>44450</xdr:rowOff>
    </xdr:from>
    <xdr:to>
      <xdr:col>12</xdr:col>
      <xdr:colOff>234950</xdr:colOff>
      <xdr:row>1</xdr:row>
      <xdr:rowOff>565150</xdr:rowOff>
    </xdr:to>
    <xdr:sp macro="" textlink="">
      <xdr:nvSpPr>
        <xdr:cNvPr id="59" name="Prostokąt: zaokrąglone rogi 58">
          <a:extLst>
            <a:ext uri="{FF2B5EF4-FFF2-40B4-BE49-F238E27FC236}">
              <a16:creationId xmlns:a16="http://schemas.microsoft.com/office/drawing/2014/main" id="{18F86997-B750-470E-98E5-11122916A240}"/>
            </a:ext>
          </a:extLst>
        </xdr:cNvPr>
        <xdr:cNvSpPr/>
      </xdr:nvSpPr>
      <xdr:spPr>
        <a:xfrm>
          <a:off x="9010650" y="527050"/>
          <a:ext cx="1879600" cy="520700"/>
        </a:xfrm>
        <a:prstGeom prst="roundRect">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3</xdr:col>
      <xdr:colOff>361950</xdr:colOff>
      <xdr:row>1</xdr:row>
      <xdr:rowOff>44450</xdr:rowOff>
    </xdr:from>
    <xdr:to>
      <xdr:col>4</xdr:col>
      <xdr:colOff>222250</xdr:colOff>
      <xdr:row>1</xdr:row>
      <xdr:rowOff>558800</xdr:rowOff>
    </xdr:to>
    <xdr:sp macro="" textlink="">
      <xdr:nvSpPr>
        <xdr:cNvPr id="9" name="pole tekstowe 8">
          <a:extLst>
            <a:ext uri="{FF2B5EF4-FFF2-40B4-BE49-F238E27FC236}">
              <a16:creationId xmlns:a16="http://schemas.microsoft.com/office/drawing/2014/main" id="{D380CB53-9FB4-42A3-92AC-04CA9CC583BC}"/>
            </a:ext>
          </a:extLst>
        </xdr:cNvPr>
        <xdr:cNvSpPr txBox="1"/>
      </xdr:nvSpPr>
      <xdr:spPr>
        <a:xfrm>
          <a:off x="3136900" y="527050"/>
          <a:ext cx="9588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100" b="1">
              <a:solidFill>
                <a:schemeClr val="tx1"/>
              </a:solidFill>
            </a:rPr>
            <a:t>Average AHT</a:t>
          </a:r>
        </a:p>
      </xdr:txBody>
    </xdr:sp>
    <xdr:clientData/>
  </xdr:twoCellAnchor>
  <xdr:twoCellAnchor>
    <xdr:from>
      <xdr:col>5</xdr:col>
      <xdr:colOff>127000</xdr:colOff>
      <xdr:row>1</xdr:row>
      <xdr:rowOff>44450</xdr:rowOff>
    </xdr:from>
    <xdr:to>
      <xdr:col>7</xdr:col>
      <xdr:colOff>19050</xdr:colOff>
      <xdr:row>1</xdr:row>
      <xdr:rowOff>558800</xdr:rowOff>
    </xdr:to>
    <xdr:sp macro="" textlink="">
      <xdr:nvSpPr>
        <xdr:cNvPr id="65" name="pole tekstowe 64">
          <a:extLst>
            <a:ext uri="{FF2B5EF4-FFF2-40B4-BE49-F238E27FC236}">
              <a16:creationId xmlns:a16="http://schemas.microsoft.com/office/drawing/2014/main" id="{893774A0-5909-4682-B69D-AAFE1FD026F3}"/>
            </a:ext>
          </a:extLst>
        </xdr:cNvPr>
        <xdr:cNvSpPr txBox="1"/>
      </xdr:nvSpPr>
      <xdr:spPr>
        <a:xfrm>
          <a:off x="4959350" y="527050"/>
          <a:ext cx="15049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100" b="1">
              <a:solidFill>
                <a:schemeClr val="tx1"/>
              </a:solidFill>
            </a:rPr>
            <a:t>Top</a:t>
          </a:r>
          <a:r>
            <a:rPr lang="pl-PL" sz="1100" b="1" baseline="0">
              <a:solidFill>
                <a:schemeClr val="tx1"/>
              </a:solidFill>
            </a:rPr>
            <a:t> Productivity</a:t>
          </a:r>
          <a:endParaRPr lang="pl-PL" sz="1100" b="1">
            <a:solidFill>
              <a:schemeClr val="tx1"/>
            </a:solidFill>
          </a:endParaRPr>
        </a:p>
      </xdr:txBody>
    </xdr:sp>
    <xdr:clientData/>
  </xdr:twoCellAnchor>
  <xdr:twoCellAnchor>
    <xdr:from>
      <xdr:col>7</xdr:col>
      <xdr:colOff>660400</xdr:colOff>
      <xdr:row>1</xdr:row>
      <xdr:rowOff>25400</xdr:rowOff>
    </xdr:from>
    <xdr:to>
      <xdr:col>9</xdr:col>
      <xdr:colOff>190500</xdr:colOff>
      <xdr:row>1</xdr:row>
      <xdr:rowOff>571500</xdr:rowOff>
    </xdr:to>
    <xdr:sp macro="" textlink="">
      <xdr:nvSpPr>
        <xdr:cNvPr id="66" name="pole tekstowe 65">
          <a:extLst>
            <a:ext uri="{FF2B5EF4-FFF2-40B4-BE49-F238E27FC236}">
              <a16:creationId xmlns:a16="http://schemas.microsoft.com/office/drawing/2014/main" id="{32D8C5FB-EF13-460F-AD09-229EF43E0FF7}"/>
            </a:ext>
          </a:extLst>
        </xdr:cNvPr>
        <xdr:cNvSpPr txBox="1"/>
      </xdr:nvSpPr>
      <xdr:spPr>
        <a:xfrm>
          <a:off x="7105650" y="508000"/>
          <a:ext cx="1504950" cy="546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100" b="1" baseline="0">
              <a:solidFill>
                <a:schemeClr val="tx1"/>
              </a:solidFill>
            </a:rPr>
            <a:t>Average Productivity</a:t>
          </a:r>
          <a:endParaRPr lang="pl-PL" sz="1100" b="1">
            <a:solidFill>
              <a:schemeClr val="tx1"/>
            </a:solidFill>
          </a:endParaRPr>
        </a:p>
      </xdr:txBody>
    </xdr:sp>
    <xdr:clientData/>
  </xdr:twoCellAnchor>
  <xdr:twoCellAnchor>
    <xdr:from>
      <xdr:col>9</xdr:col>
      <xdr:colOff>762000</xdr:colOff>
      <xdr:row>1</xdr:row>
      <xdr:rowOff>44450</xdr:rowOff>
    </xdr:from>
    <xdr:to>
      <xdr:col>12</xdr:col>
      <xdr:colOff>82550</xdr:colOff>
      <xdr:row>1</xdr:row>
      <xdr:rowOff>571500</xdr:rowOff>
    </xdr:to>
    <xdr:sp macro="" textlink="">
      <xdr:nvSpPr>
        <xdr:cNvPr id="67" name="pole tekstowe 66">
          <a:extLst>
            <a:ext uri="{FF2B5EF4-FFF2-40B4-BE49-F238E27FC236}">
              <a16:creationId xmlns:a16="http://schemas.microsoft.com/office/drawing/2014/main" id="{2410DF6F-66E8-493B-8EE1-88A9EEE17887}"/>
            </a:ext>
          </a:extLst>
        </xdr:cNvPr>
        <xdr:cNvSpPr txBox="1"/>
      </xdr:nvSpPr>
      <xdr:spPr>
        <a:xfrm>
          <a:off x="9182100" y="527050"/>
          <a:ext cx="1555750"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100" b="1">
              <a:solidFill>
                <a:schemeClr val="tx1"/>
              </a:solidFill>
            </a:rPr>
            <a:t>Today's</a:t>
          </a:r>
          <a:r>
            <a:rPr lang="pl-PL" sz="1100" b="1" baseline="0">
              <a:solidFill>
                <a:schemeClr val="tx1"/>
              </a:solidFill>
            </a:rPr>
            <a:t> Productivity</a:t>
          </a:r>
          <a:endParaRPr lang="pl-PL" sz="1100" b="1">
            <a:solidFill>
              <a:schemeClr val="tx1"/>
            </a:solidFill>
          </a:endParaRPr>
        </a:p>
      </xdr:txBody>
    </xdr:sp>
    <xdr:clientData/>
  </xdr:twoCellAnchor>
  <xdr:twoCellAnchor>
    <xdr:from>
      <xdr:col>14</xdr:col>
      <xdr:colOff>0</xdr:colOff>
      <xdr:row>1</xdr:row>
      <xdr:rowOff>1181100</xdr:rowOff>
    </xdr:from>
    <xdr:to>
      <xdr:col>26</xdr:col>
      <xdr:colOff>304800</xdr:colOff>
      <xdr:row>12</xdr:row>
      <xdr:rowOff>0</xdr:rowOff>
    </xdr:to>
    <xdr:sp macro="" textlink="">
      <xdr:nvSpPr>
        <xdr:cNvPr id="71" name="Prostokąt 70">
          <a:extLst>
            <a:ext uri="{FF2B5EF4-FFF2-40B4-BE49-F238E27FC236}">
              <a16:creationId xmlns:a16="http://schemas.microsoft.com/office/drawing/2014/main" id="{0732FE28-9927-BB90-7EB1-B471E24C0342}"/>
            </a:ext>
          </a:extLst>
        </xdr:cNvPr>
        <xdr:cNvSpPr/>
      </xdr:nvSpPr>
      <xdr:spPr>
        <a:xfrm>
          <a:off x="13912850" y="1663700"/>
          <a:ext cx="7264400" cy="2413000"/>
        </a:xfrm>
        <a:prstGeom prst="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0</xdr:col>
      <xdr:colOff>522654</xdr:colOff>
      <xdr:row>1</xdr:row>
      <xdr:rowOff>715108</xdr:rowOff>
    </xdr:from>
    <xdr:to>
      <xdr:col>2</xdr:col>
      <xdr:colOff>738554</xdr:colOff>
      <xdr:row>1</xdr:row>
      <xdr:rowOff>1235808</xdr:rowOff>
    </xdr:to>
    <xdr:sp macro="" textlink="O13">
      <xdr:nvSpPr>
        <xdr:cNvPr id="72" name="Prostokąt: zaokrąglone rogi 71">
          <a:extLst>
            <a:ext uri="{FF2B5EF4-FFF2-40B4-BE49-F238E27FC236}">
              <a16:creationId xmlns:a16="http://schemas.microsoft.com/office/drawing/2014/main" id="{63372A86-E6B9-44E6-A6E5-C26C6CFE6634}"/>
            </a:ext>
          </a:extLst>
        </xdr:cNvPr>
        <xdr:cNvSpPr/>
      </xdr:nvSpPr>
      <xdr:spPr>
        <a:xfrm>
          <a:off x="522654" y="1198685"/>
          <a:ext cx="1881554" cy="520700"/>
        </a:xfrm>
        <a:prstGeom prst="round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B1008E8-4A10-471B-A480-B0206D504E0D}" type="TxLink">
            <a:rPr lang="en-US" sz="1100" b="1" i="0" u="none" strike="noStrike">
              <a:solidFill>
                <a:srgbClr val="000000"/>
              </a:solidFill>
              <a:latin typeface="Aptos Narrow"/>
            </a:rPr>
            <a:pPr algn="ctr"/>
            <a:t>255</a:t>
          </a:fld>
          <a:endParaRPr lang="pl-PL" sz="1100" b="1"/>
        </a:p>
      </xdr:txBody>
    </xdr:sp>
    <xdr:clientData/>
  </xdr:twoCellAnchor>
  <xdr:twoCellAnchor>
    <xdr:from>
      <xdr:col>2</xdr:col>
      <xdr:colOff>997438</xdr:colOff>
      <xdr:row>1</xdr:row>
      <xdr:rowOff>706315</xdr:rowOff>
    </xdr:from>
    <xdr:to>
      <xdr:col>4</xdr:col>
      <xdr:colOff>666261</xdr:colOff>
      <xdr:row>1</xdr:row>
      <xdr:rowOff>1227015</xdr:rowOff>
    </xdr:to>
    <xdr:sp macro="" textlink="">
      <xdr:nvSpPr>
        <xdr:cNvPr id="73" name="Prostokąt: zaokrąglone rogi 72">
          <a:extLst>
            <a:ext uri="{FF2B5EF4-FFF2-40B4-BE49-F238E27FC236}">
              <a16:creationId xmlns:a16="http://schemas.microsoft.com/office/drawing/2014/main" id="{9CC44700-A37C-46BF-9836-DF8A9214300C}"/>
            </a:ext>
          </a:extLst>
        </xdr:cNvPr>
        <xdr:cNvSpPr/>
      </xdr:nvSpPr>
      <xdr:spPr>
        <a:xfrm>
          <a:off x="2661138" y="1188915"/>
          <a:ext cx="1878623" cy="520700"/>
        </a:xfrm>
        <a:prstGeom prst="round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4</xdr:col>
      <xdr:colOff>900723</xdr:colOff>
      <xdr:row>1</xdr:row>
      <xdr:rowOff>697522</xdr:rowOff>
    </xdr:from>
    <xdr:to>
      <xdr:col>7</xdr:col>
      <xdr:colOff>212970</xdr:colOff>
      <xdr:row>1</xdr:row>
      <xdr:rowOff>1218222</xdr:rowOff>
    </xdr:to>
    <xdr:sp macro="" textlink="">
      <xdr:nvSpPr>
        <xdr:cNvPr id="74" name="Prostokąt: zaokrąglone rogi 73">
          <a:extLst>
            <a:ext uri="{FF2B5EF4-FFF2-40B4-BE49-F238E27FC236}">
              <a16:creationId xmlns:a16="http://schemas.microsoft.com/office/drawing/2014/main" id="{22DA9AB6-5AD8-4453-8287-57187572C389}"/>
            </a:ext>
          </a:extLst>
        </xdr:cNvPr>
        <xdr:cNvSpPr/>
      </xdr:nvSpPr>
      <xdr:spPr>
        <a:xfrm>
          <a:off x="4779108" y="1181099"/>
          <a:ext cx="1881554" cy="520700"/>
        </a:xfrm>
        <a:prstGeom prst="round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7</xdr:col>
      <xdr:colOff>452316</xdr:colOff>
      <xdr:row>1</xdr:row>
      <xdr:rowOff>708269</xdr:rowOff>
    </xdr:from>
    <xdr:to>
      <xdr:col>9</xdr:col>
      <xdr:colOff>360485</xdr:colOff>
      <xdr:row>1</xdr:row>
      <xdr:rowOff>1228969</xdr:rowOff>
    </xdr:to>
    <xdr:sp macro="" textlink="">
      <xdr:nvSpPr>
        <xdr:cNvPr id="75" name="Prostokąt: zaokrąglone rogi 74">
          <a:extLst>
            <a:ext uri="{FF2B5EF4-FFF2-40B4-BE49-F238E27FC236}">
              <a16:creationId xmlns:a16="http://schemas.microsoft.com/office/drawing/2014/main" id="{3C7B428D-9FB8-48CB-826E-0C253D259E40}"/>
            </a:ext>
          </a:extLst>
        </xdr:cNvPr>
        <xdr:cNvSpPr/>
      </xdr:nvSpPr>
      <xdr:spPr>
        <a:xfrm>
          <a:off x="6900008" y="1191846"/>
          <a:ext cx="1881554" cy="520700"/>
        </a:xfrm>
        <a:prstGeom prst="round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9</xdr:col>
      <xdr:colOff>594946</xdr:colOff>
      <xdr:row>1</xdr:row>
      <xdr:rowOff>709246</xdr:rowOff>
    </xdr:from>
    <xdr:to>
      <xdr:col>12</xdr:col>
      <xdr:colOff>239346</xdr:colOff>
      <xdr:row>1</xdr:row>
      <xdr:rowOff>1229946</xdr:rowOff>
    </xdr:to>
    <xdr:sp macro="" textlink="">
      <xdr:nvSpPr>
        <xdr:cNvPr id="76" name="Prostokąt: zaokrąglone rogi 75">
          <a:extLst>
            <a:ext uri="{FF2B5EF4-FFF2-40B4-BE49-F238E27FC236}">
              <a16:creationId xmlns:a16="http://schemas.microsoft.com/office/drawing/2014/main" id="{2E857065-06E8-4A2E-B6A6-BCAF02EB1D74}"/>
            </a:ext>
          </a:extLst>
        </xdr:cNvPr>
        <xdr:cNvSpPr/>
      </xdr:nvSpPr>
      <xdr:spPr>
        <a:xfrm>
          <a:off x="9016023" y="1192823"/>
          <a:ext cx="1881554" cy="520700"/>
        </a:xfrm>
        <a:prstGeom prst="round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13</xdr:col>
      <xdr:colOff>69850</xdr:colOff>
      <xdr:row>2</xdr:row>
      <xdr:rowOff>203200</xdr:rowOff>
    </xdr:from>
    <xdr:to>
      <xdr:col>13</xdr:col>
      <xdr:colOff>2355850</xdr:colOff>
      <xdr:row>4</xdr:row>
      <xdr:rowOff>88900</xdr:rowOff>
    </xdr:to>
    <xdr:sp macro="[0]!AddWorkItem_Click" textlink="">
      <xdr:nvSpPr>
        <xdr:cNvPr id="3" name="Rectangle: Rounded Corners 2">
          <a:extLst>
            <a:ext uri="{FF2B5EF4-FFF2-40B4-BE49-F238E27FC236}">
              <a16:creationId xmlns:a16="http://schemas.microsoft.com/office/drawing/2014/main" id="{AD3E5E37-6D81-D91D-CB75-2F6134C405E1}"/>
            </a:ext>
          </a:extLst>
        </xdr:cNvPr>
        <xdr:cNvSpPr/>
      </xdr:nvSpPr>
      <xdr:spPr>
        <a:xfrm>
          <a:off x="11544300" y="2082800"/>
          <a:ext cx="2286000" cy="609600"/>
        </a:xfrm>
        <a:prstGeom prst="roundRect">
          <a:avLst/>
        </a:prstGeom>
        <a:ln>
          <a:noFill/>
        </a:ln>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69850</xdr:colOff>
      <xdr:row>2</xdr:row>
      <xdr:rowOff>349250</xdr:rowOff>
    </xdr:from>
    <xdr:to>
      <xdr:col>13</xdr:col>
      <xdr:colOff>2343150</xdr:colOff>
      <xdr:row>3</xdr:row>
      <xdr:rowOff>101600</xdr:rowOff>
    </xdr:to>
    <xdr:sp macro="[0]!AddWorkItem_Click" textlink="">
      <xdr:nvSpPr>
        <xdr:cNvPr id="5" name="TextBox 4">
          <a:extLst>
            <a:ext uri="{FF2B5EF4-FFF2-40B4-BE49-F238E27FC236}">
              <a16:creationId xmlns:a16="http://schemas.microsoft.com/office/drawing/2014/main" id="{7C628AC8-1CB9-D5EC-B3B9-B1FF19136DB8}"/>
            </a:ext>
          </a:extLst>
        </xdr:cNvPr>
        <xdr:cNvSpPr txBox="1"/>
      </xdr:nvSpPr>
      <xdr:spPr>
        <a:xfrm>
          <a:off x="11544300" y="2228850"/>
          <a:ext cx="22733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100" b="1">
              <a:solidFill>
                <a:schemeClr val="bg1"/>
              </a:solidFill>
            </a:rPr>
            <a:t>Add Work Item</a:t>
          </a:r>
          <a:endParaRPr lang="en-US" sz="1100" b="1">
            <a:solidFill>
              <a:schemeClr val="bg1"/>
            </a:solidFill>
          </a:endParaRPr>
        </a:p>
      </xdr:txBody>
    </xdr:sp>
    <xdr:clientData/>
  </xdr:twoCellAnchor>
  <xdr:twoCellAnchor>
    <xdr:from>
      <xdr:col>13</xdr:col>
      <xdr:colOff>69850</xdr:colOff>
      <xdr:row>6</xdr:row>
      <xdr:rowOff>133350</xdr:rowOff>
    </xdr:from>
    <xdr:to>
      <xdr:col>13</xdr:col>
      <xdr:colOff>2355850</xdr:colOff>
      <xdr:row>10</xdr:row>
      <xdr:rowOff>6350</xdr:rowOff>
    </xdr:to>
    <xdr:sp macro="[0]!ClearSelection" textlink="">
      <xdr:nvSpPr>
        <xdr:cNvPr id="6" name="Rectangle: Rounded Corners 5">
          <a:extLst>
            <a:ext uri="{FF2B5EF4-FFF2-40B4-BE49-F238E27FC236}">
              <a16:creationId xmlns:a16="http://schemas.microsoft.com/office/drawing/2014/main" id="{3D7ACD21-3BF7-4B47-88E0-22CAE64220FE}"/>
            </a:ext>
          </a:extLst>
        </xdr:cNvPr>
        <xdr:cNvSpPr/>
      </xdr:nvSpPr>
      <xdr:spPr>
        <a:xfrm>
          <a:off x="11544300" y="3105150"/>
          <a:ext cx="2286000" cy="609600"/>
        </a:xfrm>
        <a:prstGeom prst="roundRect">
          <a:avLst/>
        </a:prstGeom>
        <a:solidFill>
          <a:schemeClr val="accent5">
            <a:lumMod val="40000"/>
            <a:lumOff val="60000"/>
          </a:schemeClr>
        </a:solidFill>
        <a:ln>
          <a:noFill/>
        </a:ln>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76200</xdr:colOff>
      <xdr:row>7</xdr:row>
      <xdr:rowOff>101600</xdr:rowOff>
    </xdr:from>
    <xdr:to>
      <xdr:col>13</xdr:col>
      <xdr:colOff>2349500</xdr:colOff>
      <xdr:row>9</xdr:row>
      <xdr:rowOff>25400</xdr:rowOff>
    </xdr:to>
    <xdr:sp macro="[0]!ClearSelection" textlink="">
      <xdr:nvSpPr>
        <xdr:cNvPr id="10" name="TextBox 9">
          <a:extLst>
            <a:ext uri="{FF2B5EF4-FFF2-40B4-BE49-F238E27FC236}">
              <a16:creationId xmlns:a16="http://schemas.microsoft.com/office/drawing/2014/main" id="{AC3DC0A8-92A7-4AFE-894A-54C286606561}"/>
            </a:ext>
          </a:extLst>
        </xdr:cNvPr>
        <xdr:cNvSpPr txBox="1"/>
      </xdr:nvSpPr>
      <xdr:spPr>
        <a:xfrm>
          <a:off x="11550650" y="3257550"/>
          <a:ext cx="22733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100" b="1">
              <a:solidFill>
                <a:schemeClr val="bg1"/>
              </a:solidFill>
            </a:rPr>
            <a:t>Delete</a:t>
          </a:r>
          <a:r>
            <a:rPr lang="pl-PL" sz="1100" b="1" baseline="0">
              <a:solidFill>
                <a:schemeClr val="bg1"/>
              </a:solidFill>
            </a:rPr>
            <a:t> Work Items</a:t>
          </a:r>
          <a:endParaRPr lang="en-US" sz="1100" b="1">
            <a:solidFill>
              <a:schemeClr val="bg1"/>
            </a:solidFill>
          </a:endParaRPr>
        </a:p>
      </xdr:txBody>
    </xdr:sp>
    <xdr:clientData/>
  </xdr:twoCellAnchor>
  <xdr:twoCellAnchor>
    <xdr:from>
      <xdr:col>13</xdr:col>
      <xdr:colOff>76200</xdr:colOff>
      <xdr:row>12</xdr:row>
      <xdr:rowOff>0</xdr:rowOff>
    </xdr:from>
    <xdr:to>
      <xdr:col>13</xdr:col>
      <xdr:colOff>2362200</xdr:colOff>
      <xdr:row>14</xdr:row>
      <xdr:rowOff>196850</xdr:rowOff>
    </xdr:to>
    <xdr:sp macro="[0]!AddNewDay" textlink="">
      <xdr:nvSpPr>
        <xdr:cNvPr id="11" name="Rectangle: Rounded Corners 10">
          <a:extLst>
            <a:ext uri="{FF2B5EF4-FFF2-40B4-BE49-F238E27FC236}">
              <a16:creationId xmlns:a16="http://schemas.microsoft.com/office/drawing/2014/main" id="{EEF6A230-1530-47BC-B94A-E37F738C9F2D}"/>
            </a:ext>
          </a:extLst>
        </xdr:cNvPr>
        <xdr:cNvSpPr/>
      </xdr:nvSpPr>
      <xdr:spPr>
        <a:xfrm>
          <a:off x="11550650" y="4076700"/>
          <a:ext cx="2286000" cy="565150"/>
        </a:xfrm>
        <a:prstGeom prst="roundRect">
          <a:avLst/>
        </a:prstGeom>
        <a:solidFill>
          <a:schemeClr val="accent4">
            <a:lumMod val="60000"/>
            <a:lumOff val="40000"/>
          </a:schemeClr>
        </a:solidFill>
        <a:ln>
          <a:noFill/>
        </a:ln>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95250</xdr:colOff>
      <xdr:row>12</xdr:row>
      <xdr:rowOff>146050</xdr:rowOff>
    </xdr:from>
    <xdr:to>
      <xdr:col>13</xdr:col>
      <xdr:colOff>2368550</xdr:colOff>
      <xdr:row>14</xdr:row>
      <xdr:rowOff>69850</xdr:rowOff>
    </xdr:to>
    <xdr:sp macro="[0]!AddNewDay" textlink="">
      <xdr:nvSpPr>
        <xdr:cNvPr id="13" name="TextBox 12">
          <a:extLst>
            <a:ext uri="{FF2B5EF4-FFF2-40B4-BE49-F238E27FC236}">
              <a16:creationId xmlns:a16="http://schemas.microsoft.com/office/drawing/2014/main" id="{EFC99173-F604-4D0D-8FE8-07276B5DA0FA}"/>
            </a:ext>
          </a:extLst>
        </xdr:cNvPr>
        <xdr:cNvSpPr txBox="1"/>
      </xdr:nvSpPr>
      <xdr:spPr>
        <a:xfrm>
          <a:off x="11569700" y="4222750"/>
          <a:ext cx="22733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1100" b="1">
              <a:solidFill>
                <a:schemeClr val="bg1"/>
              </a:solidFill>
            </a:rPr>
            <a:t>Add</a:t>
          </a:r>
          <a:r>
            <a:rPr lang="pl-PL" sz="1100" b="1" baseline="0">
              <a:solidFill>
                <a:schemeClr val="bg1"/>
              </a:solidFill>
            </a:rPr>
            <a:t> New Day</a:t>
          </a:r>
          <a:endParaRPr lang="en-US" sz="1100" b="1">
            <a:solidFill>
              <a:schemeClr val="bg1"/>
            </a:solidFill>
          </a:endParaRPr>
        </a:p>
      </xdr:txBody>
    </xdr:sp>
    <xdr:clientData/>
  </xdr:twoCellAnchor>
  <xdr:twoCellAnchor>
    <xdr:from>
      <xdr:col>0</xdr:col>
      <xdr:colOff>522654</xdr:colOff>
      <xdr:row>1</xdr:row>
      <xdr:rowOff>713097</xdr:rowOff>
    </xdr:from>
    <xdr:to>
      <xdr:col>2</xdr:col>
      <xdr:colOff>738554</xdr:colOff>
      <xdr:row>1</xdr:row>
      <xdr:rowOff>1233797</xdr:rowOff>
    </xdr:to>
    <xdr:sp macro="" textlink="O13">
      <xdr:nvSpPr>
        <xdr:cNvPr id="14" name="Prostokąt: zaokrąglone rogi 71">
          <a:extLst>
            <a:ext uri="{FF2B5EF4-FFF2-40B4-BE49-F238E27FC236}">
              <a16:creationId xmlns:a16="http://schemas.microsoft.com/office/drawing/2014/main" id="{FE0F35FA-E86C-4119-ABFA-91BB6180E25E}"/>
            </a:ext>
          </a:extLst>
        </xdr:cNvPr>
        <xdr:cNvSpPr/>
      </xdr:nvSpPr>
      <xdr:spPr>
        <a:xfrm>
          <a:off x="522654" y="1198685"/>
          <a:ext cx="1881841" cy="520700"/>
        </a:xfrm>
        <a:prstGeom prst="round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B1008E8-4A10-471B-A480-B0206D504E0D}" type="TxLink">
            <a:rPr lang="en-US" sz="1100" b="1" i="0" u="none" strike="noStrike">
              <a:solidFill>
                <a:srgbClr val="000000"/>
              </a:solidFill>
              <a:latin typeface="Aptos Narrow"/>
            </a:rPr>
            <a:pPr algn="ctr"/>
            <a:t>255</a:t>
          </a:fld>
          <a:endParaRPr lang="pl-PL" sz="1100" b="1"/>
        </a:p>
      </xdr:txBody>
    </xdr:sp>
    <xdr:clientData/>
  </xdr:twoCellAnchor>
  <xdr:twoCellAnchor>
    <xdr:from>
      <xdr:col>5</xdr:col>
      <xdr:colOff>129240</xdr:colOff>
      <xdr:row>1</xdr:row>
      <xdr:rowOff>812801</xdr:rowOff>
    </xdr:from>
    <xdr:to>
      <xdr:col>7</xdr:col>
      <xdr:colOff>89646</xdr:colOff>
      <xdr:row>1</xdr:row>
      <xdr:rowOff>1090707</xdr:rowOff>
    </xdr:to>
    <xdr:sp macro="" textlink="Q13">
      <xdr:nvSpPr>
        <xdr:cNvPr id="15" name="TextBox 14">
          <a:extLst>
            <a:ext uri="{FF2B5EF4-FFF2-40B4-BE49-F238E27FC236}">
              <a16:creationId xmlns:a16="http://schemas.microsoft.com/office/drawing/2014/main" id="{8B68B88B-4DAF-F479-B6B6-96699A5B4FDF}"/>
            </a:ext>
          </a:extLst>
        </xdr:cNvPr>
        <xdr:cNvSpPr txBox="1"/>
      </xdr:nvSpPr>
      <xdr:spPr>
        <a:xfrm>
          <a:off x="4961590" y="1295401"/>
          <a:ext cx="1573306" cy="277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AAE020-B6C2-4CEF-A2F9-8FCBEBFA4109}" type="TxLink">
            <a:rPr lang="en-US" sz="1100" b="1" i="0" u="none" strike="noStrike">
              <a:solidFill>
                <a:srgbClr val="000000"/>
              </a:solidFill>
              <a:latin typeface="Aptos Narrow"/>
            </a:rPr>
            <a:pPr algn="ctr"/>
            <a:t>01/09 - 116,00%</a:t>
          </a:fld>
          <a:endParaRPr lang="en-US" sz="1100" b="1"/>
        </a:p>
      </xdr:txBody>
    </xdr:sp>
    <xdr:clientData/>
  </xdr:twoCellAnchor>
  <xdr:twoCellAnchor>
    <xdr:from>
      <xdr:col>3</xdr:col>
      <xdr:colOff>50052</xdr:colOff>
      <xdr:row>1</xdr:row>
      <xdr:rowOff>830730</xdr:rowOff>
    </xdr:from>
    <xdr:to>
      <xdr:col>4</xdr:col>
      <xdr:colOff>525929</xdr:colOff>
      <xdr:row>1</xdr:row>
      <xdr:rowOff>1108636</xdr:rowOff>
    </xdr:to>
    <xdr:sp macro="" textlink="P13">
      <xdr:nvSpPr>
        <xdr:cNvPr id="16" name="TextBox 15">
          <a:extLst>
            <a:ext uri="{FF2B5EF4-FFF2-40B4-BE49-F238E27FC236}">
              <a16:creationId xmlns:a16="http://schemas.microsoft.com/office/drawing/2014/main" id="{01D551ED-4F74-4E6B-9CAA-C76C28E0513E}"/>
            </a:ext>
          </a:extLst>
        </xdr:cNvPr>
        <xdr:cNvSpPr txBox="1"/>
      </xdr:nvSpPr>
      <xdr:spPr>
        <a:xfrm>
          <a:off x="2829111" y="1316318"/>
          <a:ext cx="1574053" cy="277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9D78963-979B-491A-9880-7A76BAEFF5AF}" type="TxLink">
            <a:rPr lang="en-US" sz="1100" b="1" i="0" u="none" strike="noStrike">
              <a:solidFill>
                <a:srgbClr val="000000"/>
              </a:solidFill>
              <a:latin typeface="Aptos Narrow"/>
            </a:rPr>
            <a:pPr algn="ctr"/>
            <a:t>318,5</a:t>
          </a:fld>
          <a:endParaRPr lang="en-US" sz="1100" b="1"/>
        </a:p>
      </xdr:txBody>
    </xdr:sp>
    <xdr:clientData/>
  </xdr:twoCellAnchor>
  <xdr:twoCellAnchor>
    <xdr:from>
      <xdr:col>7</xdr:col>
      <xdr:colOff>618190</xdr:colOff>
      <xdr:row>1</xdr:row>
      <xdr:rowOff>812801</xdr:rowOff>
    </xdr:from>
    <xdr:to>
      <xdr:col>9</xdr:col>
      <xdr:colOff>216646</xdr:colOff>
      <xdr:row>1</xdr:row>
      <xdr:rowOff>1090707</xdr:rowOff>
    </xdr:to>
    <xdr:sp macro="" textlink="R13">
      <xdr:nvSpPr>
        <xdr:cNvPr id="17" name="TextBox 16">
          <a:extLst>
            <a:ext uri="{FF2B5EF4-FFF2-40B4-BE49-F238E27FC236}">
              <a16:creationId xmlns:a16="http://schemas.microsoft.com/office/drawing/2014/main" id="{E80EC4CC-1B6D-4CD0-A021-8EAAB2ED3581}"/>
            </a:ext>
          </a:extLst>
        </xdr:cNvPr>
        <xdr:cNvSpPr txBox="1"/>
      </xdr:nvSpPr>
      <xdr:spPr>
        <a:xfrm>
          <a:off x="7063440" y="1295401"/>
          <a:ext cx="1573306" cy="277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35A50C2-6444-4CFE-A735-0B4020526387}" type="TxLink">
            <a:rPr lang="en-US" sz="1100" b="1" i="0" u="none" strike="noStrike">
              <a:solidFill>
                <a:srgbClr val="000000"/>
              </a:solidFill>
              <a:latin typeface="Aptos Narrow"/>
            </a:rPr>
            <a:pPr algn="ctr"/>
            <a:t>80,00%</a:t>
          </a:fld>
          <a:endParaRPr lang="en-US" sz="1100" b="1"/>
        </a:p>
      </xdr:txBody>
    </xdr:sp>
    <xdr:clientData/>
  </xdr:twoCellAnchor>
  <xdr:twoCellAnchor>
    <xdr:from>
      <xdr:col>9</xdr:col>
      <xdr:colOff>794258</xdr:colOff>
      <xdr:row>1</xdr:row>
      <xdr:rowOff>810492</xdr:rowOff>
    </xdr:from>
    <xdr:to>
      <xdr:col>12</xdr:col>
      <xdr:colOff>127167</xdr:colOff>
      <xdr:row>1</xdr:row>
      <xdr:rowOff>1088398</xdr:rowOff>
    </xdr:to>
    <xdr:sp macro="" textlink="S13">
      <xdr:nvSpPr>
        <xdr:cNvPr id="18" name="TextBox 17">
          <a:extLst>
            <a:ext uri="{FF2B5EF4-FFF2-40B4-BE49-F238E27FC236}">
              <a16:creationId xmlns:a16="http://schemas.microsoft.com/office/drawing/2014/main" id="{54A3E9B5-16A4-40CE-9267-421289B813BE}"/>
            </a:ext>
          </a:extLst>
        </xdr:cNvPr>
        <xdr:cNvSpPr txBox="1"/>
      </xdr:nvSpPr>
      <xdr:spPr>
        <a:xfrm>
          <a:off x="9210894" y="1295401"/>
          <a:ext cx="1572728" cy="277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5B7069F-8BA8-4FBB-9B70-DE1D04699703}" type="TxLink">
            <a:rPr lang="en-US" sz="1100" b="1" i="0" u="none" strike="noStrike">
              <a:solidFill>
                <a:srgbClr val="000000"/>
              </a:solidFill>
              <a:latin typeface="Aptos Narrow"/>
            </a:rPr>
            <a:pPr algn="ctr"/>
            <a:t>0,64</a:t>
          </a:fld>
          <a:endParaRPr lang="en-US" sz="1100" b="1"/>
        </a:p>
      </xdr:txBody>
    </xdr:sp>
    <xdr:clientData/>
  </xdr:twoCellAnchor>
  <xdr:twoCellAnchor>
    <xdr:from>
      <xdr:col>14</xdr:col>
      <xdr:colOff>0</xdr:colOff>
      <xdr:row>0</xdr:row>
      <xdr:rowOff>0</xdr:rowOff>
    </xdr:from>
    <xdr:to>
      <xdr:col>27</xdr:col>
      <xdr:colOff>50800</xdr:colOff>
      <xdr:row>16</xdr:row>
      <xdr:rowOff>0</xdr:rowOff>
    </xdr:to>
    <xdr:sp macro="" textlink="">
      <xdr:nvSpPr>
        <xdr:cNvPr id="8" name="Prostokąt 70">
          <a:extLst>
            <a:ext uri="{FF2B5EF4-FFF2-40B4-BE49-F238E27FC236}">
              <a16:creationId xmlns:a16="http://schemas.microsoft.com/office/drawing/2014/main" id="{F99CD38D-9945-4183-943B-011108C13413}"/>
            </a:ext>
          </a:extLst>
        </xdr:cNvPr>
        <xdr:cNvSpPr/>
      </xdr:nvSpPr>
      <xdr:spPr>
        <a:xfrm>
          <a:off x="13912850" y="0"/>
          <a:ext cx="7620000" cy="48387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14</xdr:col>
      <xdr:colOff>209550</xdr:colOff>
      <xdr:row>0</xdr:row>
      <xdr:rowOff>6350</xdr:rowOff>
    </xdr:from>
    <xdr:to>
      <xdr:col>26</xdr:col>
      <xdr:colOff>457200</xdr:colOff>
      <xdr:row>14</xdr:row>
      <xdr:rowOff>342900</xdr:rowOff>
    </xdr:to>
    <xdr:sp macro="" textlink="">
      <xdr:nvSpPr>
        <xdr:cNvPr id="12" name="TextBox 11">
          <a:extLst>
            <a:ext uri="{FF2B5EF4-FFF2-40B4-BE49-F238E27FC236}">
              <a16:creationId xmlns:a16="http://schemas.microsoft.com/office/drawing/2014/main" id="{E28A7C5A-0E93-500A-D76B-A296ED3F7357}"/>
            </a:ext>
          </a:extLst>
        </xdr:cNvPr>
        <xdr:cNvSpPr txBox="1"/>
      </xdr:nvSpPr>
      <xdr:spPr>
        <a:xfrm>
          <a:off x="14122400" y="6350"/>
          <a:ext cx="7207250" cy="4781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l-PL" sz="1600" b="1"/>
            <a:t>Instructions</a:t>
          </a:r>
        </a:p>
        <a:p>
          <a:pPr algn="ctr"/>
          <a:endParaRPr lang="pl-PL" sz="1400" b="1"/>
        </a:p>
        <a:p>
          <a:pPr lvl="0"/>
          <a:r>
            <a:rPr lang="pl-PL" sz="1400" b="1">
              <a:solidFill>
                <a:schemeClr val="dk1"/>
              </a:solidFill>
              <a:effectLst/>
              <a:latin typeface="+mn-lt"/>
              <a:ea typeface="+mn-ea"/>
              <a:cs typeface="+mn-cs"/>
            </a:rPr>
            <a:t>1</a:t>
          </a:r>
          <a:r>
            <a:rPr lang="pl-PL" sz="1400">
              <a:solidFill>
                <a:schemeClr val="dk1"/>
              </a:solidFill>
              <a:effectLst/>
              <a:latin typeface="+mn-lt"/>
              <a:ea typeface="+mn-ea"/>
              <a:cs typeface="+mn-cs"/>
            </a:rPr>
            <a:t>. </a:t>
          </a:r>
          <a:r>
            <a:rPr lang="en-US" sz="1400">
              <a:solidFill>
                <a:schemeClr val="dk1"/>
              </a:solidFill>
              <a:effectLst/>
              <a:latin typeface="+mn-lt"/>
              <a:ea typeface="+mn-ea"/>
              <a:cs typeface="+mn-cs"/>
            </a:rPr>
            <a:t>Click on the “</a:t>
          </a:r>
          <a:r>
            <a:rPr lang="en-US" sz="1400" b="1">
              <a:solidFill>
                <a:schemeClr val="dk1"/>
              </a:solidFill>
              <a:effectLst/>
              <a:latin typeface="+mn-lt"/>
              <a:ea typeface="+mn-ea"/>
              <a:cs typeface="+mn-cs"/>
            </a:rPr>
            <a:t>Add New Date</a:t>
          </a:r>
          <a:r>
            <a:rPr lang="en-US" sz="1400">
              <a:solidFill>
                <a:schemeClr val="dk1"/>
              </a:solidFill>
              <a:effectLst/>
              <a:latin typeface="+mn-lt"/>
              <a:ea typeface="+mn-ea"/>
              <a:cs typeface="+mn-cs"/>
            </a:rPr>
            <a:t>” button to add today’s date.</a:t>
          </a:r>
          <a:br>
            <a:rPr lang="pl-PL" sz="1400">
              <a:solidFill>
                <a:schemeClr val="dk1"/>
              </a:solidFill>
              <a:effectLst/>
              <a:latin typeface="+mn-lt"/>
              <a:ea typeface="+mn-ea"/>
              <a:cs typeface="+mn-cs"/>
            </a:rPr>
          </a:br>
          <a:endParaRPr lang="en-US" sz="1400">
            <a:solidFill>
              <a:schemeClr val="dk1"/>
            </a:solidFill>
            <a:effectLst/>
            <a:latin typeface="+mn-lt"/>
            <a:ea typeface="+mn-ea"/>
            <a:cs typeface="+mn-cs"/>
          </a:endParaRPr>
        </a:p>
        <a:p>
          <a:pPr lvl="0"/>
          <a:r>
            <a:rPr lang="pl-PL" sz="1400" b="1">
              <a:solidFill>
                <a:schemeClr val="dk1"/>
              </a:solidFill>
              <a:effectLst/>
              <a:latin typeface="+mn-lt"/>
              <a:ea typeface="+mn-ea"/>
              <a:cs typeface="+mn-cs"/>
            </a:rPr>
            <a:t>2</a:t>
          </a:r>
          <a:r>
            <a:rPr lang="pl-PL" sz="1400">
              <a:solidFill>
                <a:schemeClr val="dk1"/>
              </a:solidFill>
              <a:effectLst/>
              <a:latin typeface="+mn-lt"/>
              <a:ea typeface="+mn-ea"/>
              <a:cs typeface="+mn-cs"/>
            </a:rPr>
            <a:t>. </a:t>
          </a:r>
          <a:r>
            <a:rPr lang="en-US" sz="1400">
              <a:solidFill>
                <a:schemeClr val="dk1"/>
              </a:solidFill>
              <a:effectLst/>
              <a:latin typeface="+mn-lt"/>
              <a:ea typeface="+mn-ea"/>
              <a:cs typeface="+mn-cs"/>
            </a:rPr>
            <a:t>Select a task type to add from a dropdown list (</a:t>
          </a:r>
          <a:r>
            <a:rPr lang="en-US" sz="1400" b="1">
              <a:solidFill>
                <a:schemeClr val="dk1"/>
              </a:solidFill>
              <a:effectLst/>
              <a:latin typeface="+mn-lt"/>
              <a:ea typeface="+mn-ea"/>
              <a:cs typeface="+mn-cs"/>
            </a:rPr>
            <a:t>cell N2</a:t>
          </a:r>
          <a:r>
            <a:rPr lang="en-US" sz="1400">
              <a:solidFill>
                <a:schemeClr val="dk1"/>
              </a:solidFill>
              <a:effectLst/>
              <a:latin typeface="+mn-lt"/>
              <a:ea typeface="+mn-ea"/>
              <a:cs typeface="+mn-cs"/>
            </a:rPr>
            <a:t>).</a:t>
          </a:r>
          <a:endParaRPr lang="pl-PL" sz="1400">
            <a:solidFill>
              <a:schemeClr val="dk1"/>
            </a:solidFill>
            <a:effectLst/>
            <a:latin typeface="+mn-lt"/>
            <a:ea typeface="+mn-ea"/>
            <a:cs typeface="+mn-cs"/>
          </a:endParaRPr>
        </a:p>
        <a:p>
          <a:pPr lvl="0"/>
          <a:endParaRPr lang="en-US" sz="1400">
            <a:solidFill>
              <a:schemeClr val="dk1"/>
            </a:solidFill>
            <a:effectLst/>
            <a:latin typeface="+mn-lt"/>
            <a:ea typeface="+mn-ea"/>
            <a:cs typeface="+mn-cs"/>
          </a:endParaRPr>
        </a:p>
        <a:p>
          <a:pPr lvl="0"/>
          <a:r>
            <a:rPr lang="pl-PL" sz="1400" b="1">
              <a:solidFill>
                <a:schemeClr val="dk1"/>
              </a:solidFill>
              <a:effectLst/>
              <a:latin typeface="+mn-lt"/>
              <a:ea typeface="+mn-ea"/>
              <a:cs typeface="+mn-cs"/>
            </a:rPr>
            <a:t>3</a:t>
          </a:r>
          <a:r>
            <a:rPr lang="pl-PL" sz="1400">
              <a:solidFill>
                <a:schemeClr val="dk1"/>
              </a:solidFill>
              <a:effectLst/>
              <a:latin typeface="+mn-lt"/>
              <a:ea typeface="+mn-ea"/>
              <a:cs typeface="+mn-cs"/>
            </a:rPr>
            <a:t>. </a:t>
          </a:r>
          <a:r>
            <a:rPr lang="en-US" sz="1400">
              <a:solidFill>
                <a:schemeClr val="dk1"/>
              </a:solidFill>
              <a:effectLst/>
              <a:latin typeface="+mn-lt"/>
              <a:ea typeface="+mn-ea"/>
              <a:cs typeface="+mn-cs"/>
            </a:rPr>
            <a:t>Click on a current’s day row.</a:t>
          </a:r>
          <a:endParaRPr lang="pl-PL" sz="1400">
            <a:solidFill>
              <a:schemeClr val="dk1"/>
            </a:solidFill>
            <a:effectLst/>
            <a:latin typeface="+mn-lt"/>
            <a:ea typeface="+mn-ea"/>
            <a:cs typeface="+mn-cs"/>
          </a:endParaRPr>
        </a:p>
        <a:p>
          <a:pPr lvl="0"/>
          <a:endParaRPr lang="en-US" sz="1400">
            <a:solidFill>
              <a:schemeClr val="dk1"/>
            </a:solidFill>
            <a:effectLst/>
            <a:latin typeface="+mn-lt"/>
            <a:ea typeface="+mn-ea"/>
            <a:cs typeface="+mn-cs"/>
          </a:endParaRPr>
        </a:p>
        <a:p>
          <a:pPr lvl="0"/>
          <a:r>
            <a:rPr lang="pl-PL" sz="1400" b="1">
              <a:solidFill>
                <a:schemeClr val="dk1"/>
              </a:solidFill>
              <a:effectLst/>
              <a:latin typeface="+mn-lt"/>
              <a:ea typeface="+mn-ea"/>
              <a:cs typeface="+mn-cs"/>
            </a:rPr>
            <a:t>4</a:t>
          </a:r>
          <a:r>
            <a:rPr lang="pl-PL" sz="1400">
              <a:solidFill>
                <a:schemeClr val="dk1"/>
              </a:solidFill>
              <a:effectLst/>
              <a:latin typeface="+mn-lt"/>
              <a:ea typeface="+mn-ea"/>
              <a:cs typeface="+mn-cs"/>
            </a:rPr>
            <a:t>. </a:t>
          </a:r>
          <a:r>
            <a:rPr lang="en-US" sz="1400">
              <a:solidFill>
                <a:schemeClr val="dk1"/>
              </a:solidFill>
              <a:effectLst/>
              <a:latin typeface="+mn-lt"/>
              <a:ea typeface="+mn-ea"/>
              <a:cs typeface="+mn-cs"/>
            </a:rPr>
            <a:t>Use the “</a:t>
          </a:r>
          <a:r>
            <a:rPr lang="en-US" sz="1400" b="1">
              <a:solidFill>
                <a:schemeClr val="dk1"/>
              </a:solidFill>
              <a:effectLst/>
              <a:latin typeface="+mn-lt"/>
              <a:ea typeface="+mn-ea"/>
              <a:cs typeface="+mn-cs"/>
            </a:rPr>
            <a:t>Add Work Item</a:t>
          </a:r>
          <a:r>
            <a:rPr lang="en-US" sz="1400">
              <a:solidFill>
                <a:schemeClr val="dk1"/>
              </a:solidFill>
              <a:effectLst/>
              <a:latin typeface="+mn-lt"/>
              <a:ea typeface="+mn-ea"/>
              <a:cs typeface="+mn-cs"/>
            </a:rPr>
            <a:t>” button to add a work item to the selected row.</a:t>
          </a:r>
          <a:endParaRPr lang="pl-PL" sz="1400">
            <a:solidFill>
              <a:schemeClr val="dk1"/>
            </a:solidFill>
            <a:effectLst/>
            <a:latin typeface="+mn-lt"/>
            <a:ea typeface="+mn-ea"/>
            <a:cs typeface="+mn-cs"/>
          </a:endParaRPr>
        </a:p>
        <a:p>
          <a:pPr lvl="0"/>
          <a:endParaRPr lang="en-US" sz="1400">
            <a:solidFill>
              <a:schemeClr val="dk1"/>
            </a:solidFill>
            <a:effectLst/>
            <a:latin typeface="+mn-lt"/>
            <a:ea typeface="+mn-ea"/>
            <a:cs typeface="+mn-cs"/>
          </a:endParaRPr>
        </a:p>
        <a:p>
          <a:pPr lvl="0"/>
          <a:r>
            <a:rPr lang="pl-PL" sz="1400" b="1">
              <a:solidFill>
                <a:schemeClr val="dk1"/>
              </a:solidFill>
              <a:effectLst/>
              <a:latin typeface="+mn-lt"/>
              <a:ea typeface="+mn-ea"/>
              <a:cs typeface="+mn-cs"/>
            </a:rPr>
            <a:t>5</a:t>
          </a:r>
          <a:r>
            <a:rPr lang="pl-PL" sz="1400">
              <a:solidFill>
                <a:schemeClr val="dk1"/>
              </a:solidFill>
              <a:effectLst/>
              <a:latin typeface="+mn-lt"/>
              <a:ea typeface="+mn-ea"/>
              <a:cs typeface="+mn-cs"/>
            </a:rPr>
            <a:t>. </a:t>
          </a:r>
          <a:r>
            <a:rPr lang="en-US" sz="1400">
              <a:solidFill>
                <a:schemeClr val="dk1"/>
              </a:solidFill>
              <a:effectLst/>
              <a:latin typeface="+mn-lt"/>
              <a:ea typeface="+mn-ea"/>
              <a:cs typeface="+mn-cs"/>
            </a:rPr>
            <a:t>To remove the tasks, select the cell and click on the “</a:t>
          </a:r>
          <a:r>
            <a:rPr lang="pl-PL" sz="1400" b="1">
              <a:solidFill>
                <a:schemeClr val="dk1"/>
              </a:solidFill>
              <a:effectLst/>
              <a:latin typeface="+mn-lt"/>
              <a:ea typeface="+mn-ea"/>
              <a:cs typeface="+mn-cs"/>
            </a:rPr>
            <a:t>Delete</a:t>
          </a:r>
          <a:r>
            <a:rPr lang="pl-PL" sz="1400" b="1" baseline="0">
              <a:solidFill>
                <a:schemeClr val="dk1"/>
              </a:solidFill>
              <a:effectLst/>
              <a:latin typeface="+mn-lt"/>
              <a:ea typeface="+mn-ea"/>
              <a:cs typeface="+mn-cs"/>
            </a:rPr>
            <a:t> Work Items</a:t>
          </a:r>
          <a:r>
            <a:rPr lang="pl-PL" sz="1400" baseline="0">
              <a:solidFill>
                <a:schemeClr val="dk1"/>
              </a:solidFill>
              <a:effectLst/>
              <a:latin typeface="+mn-lt"/>
              <a:ea typeface="+mn-ea"/>
              <a:cs typeface="+mn-cs"/>
            </a:rPr>
            <a:t>"</a:t>
          </a:r>
          <a:r>
            <a:rPr lang="en-US" sz="1400">
              <a:solidFill>
                <a:schemeClr val="dk1"/>
              </a:solidFill>
              <a:effectLst/>
              <a:latin typeface="+mn-lt"/>
              <a:ea typeface="+mn-ea"/>
              <a:cs typeface="+mn-cs"/>
            </a:rPr>
            <a:t> button.</a:t>
          </a:r>
          <a:endParaRPr lang="pl-PL" sz="1400">
            <a:solidFill>
              <a:schemeClr val="dk1"/>
            </a:solidFill>
            <a:effectLst/>
            <a:latin typeface="+mn-lt"/>
            <a:ea typeface="+mn-ea"/>
            <a:cs typeface="+mn-cs"/>
          </a:endParaRPr>
        </a:p>
        <a:p>
          <a:pPr lvl="0"/>
          <a:endParaRPr lang="en-US" sz="1400">
            <a:solidFill>
              <a:schemeClr val="dk1"/>
            </a:solidFill>
            <a:effectLst/>
            <a:latin typeface="+mn-lt"/>
            <a:ea typeface="+mn-ea"/>
            <a:cs typeface="+mn-cs"/>
          </a:endParaRPr>
        </a:p>
        <a:p>
          <a:pPr lvl="0"/>
          <a:r>
            <a:rPr lang="pl-PL" sz="1400" b="1">
              <a:solidFill>
                <a:schemeClr val="dk1"/>
              </a:solidFill>
              <a:effectLst/>
              <a:latin typeface="+mn-lt"/>
              <a:ea typeface="+mn-ea"/>
              <a:cs typeface="+mn-cs"/>
            </a:rPr>
            <a:t>6</a:t>
          </a:r>
          <a:r>
            <a:rPr lang="pl-PL" sz="1400">
              <a:solidFill>
                <a:schemeClr val="dk1"/>
              </a:solidFill>
              <a:effectLst/>
              <a:latin typeface="+mn-lt"/>
              <a:ea typeface="+mn-ea"/>
              <a:cs typeface="+mn-cs"/>
            </a:rPr>
            <a:t>. </a:t>
          </a:r>
          <a:r>
            <a:rPr lang="en-US" sz="1400">
              <a:solidFill>
                <a:schemeClr val="dk1"/>
              </a:solidFill>
              <a:effectLst/>
              <a:latin typeface="+mn-lt"/>
              <a:ea typeface="+mn-ea"/>
              <a:cs typeface="+mn-cs"/>
            </a:rPr>
            <a:t>To see a productivity chart, go to Chart Worksheet. You can pick the data range by expanding the Date dropdown. If the chart is not updated automatically after the file is opened each day, please go to Chart Worksheet - PivotTable Analyze- Data- Refresh- Refresh All.</a:t>
          </a:r>
          <a:endParaRPr lang="pl-PL" sz="1400">
            <a:solidFill>
              <a:schemeClr val="dk1"/>
            </a:solidFill>
            <a:effectLst/>
            <a:latin typeface="+mn-lt"/>
            <a:ea typeface="+mn-ea"/>
            <a:cs typeface="+mn-cs"/>
          </a:endParaRPr>
        </a:p>
        <a:p>
          <a:pPr lvl="0"/>
          <a:endParaRPr lang="en-US" sz="1400">
            <a:solidFill>
              <a:schemeClr val="dk1"/>
            </a:solidFill>
            <a:effectLst/>
            <a:latin typeface="+mn-lt"/>
            <a:ea typeface="+mn-ea"/>
            <a:cs typeface="+mn-cs"/>
          </a:endParaRPr>
        </a:p>
        <a:p>
          <a:pPr lvl="0"/>
          <a:r>
            <a:rPr lang="pl-PL" sz="1400" b="1">
              <a:solidFill>
                <a:schemeClr val="dk1"/>
              </a:solidFill>
              <a:effectLst/>
              <a:latin typeface="+mn-lt"/>
              <a:ea typeface="+mn-ea"/>
              <a:cs typeface="+mn-cs"/>
            </a:rPr>
            <a:t>7</a:t>
          </a:r>
          <a:r>
            <a:rPr lang="pl-PL" sz="1400">
              <a:solidFill>
                <a:schemeClr val="dk1"/>
              </a:solidFill>
              <a:effectLst/>
              <a:latin typeface="+mn-lt"/>
              <a:ea typeface="+mn-ea"/>
              <a:cs typeface="+mn-cs"/>
            </a:rPr>
            <a:t>. </a:t>
          </a:r>
          <a:r>
            <a:rPr lang="en-US" sz="1400">
              <a:solidFill>
                <a:schemeClr val="dk1"/>
              </a:solidFill>
              <a:effectLst/>
              <a:latin typeface="+mn-lt"/>
              <a:ea typeface="+mn-ea"/>
              <a:cs typeface="+mn-cs"/>
            </a:rPr>
            <a:t>You can see the Key Performance Indicators (</a:t>
          </a:r>
          <a:r>
            <a:rPr lang="en-US" sz="1400" b="1">
              <a:solidFill>
                <a:schemeClr val="dk1"/>
              </a:solidFill>
              <a:effectLst/>
              <a:latin typeface="+mn-lt"/>
              <a:ea typeface="+mn-ea"/>
              <a:cs typeface="+mn-cs"/>
            </a:rPr>
            <a:t>KPIs</a:t>
          </a:r>
          <a:r>
            <a:rPr lang="en-US" sz="1400">
              <a:solidFill>
                <a:schemeClr val="dk1"/>
              </a:solidFill>
              <a:effectLst/>
              <a:latin typeface="+mn-lt"/>
              <a:ea typeface="+mn-ea"/>
              <a:cs typeface="+mn-cs"/>
            </a:rPr>
            <a:t>) on the top left of the banner (Today’s AHT, Average AHT, Top Productivity, Average Productivity, Today’s Productivity).</a:t>
          </a:r>
          <a:endParaRPr lang="pl-PL" sz="1400">
            <a:solidFill>
              <a:schemeClr val="dk1"/>
            </a:solidFill>
            <a:effectLst/>
            <a:latin typeface="+mn-lt"/>
            <a:ea typeface="+mn-ea"/>
            <a:cs typeface="+mn-cs"/>
          </a:endParaRPr>
        </a:p>
        <a:p>
          <a:pPr lvl="0"/>
          <a:endParaRPr lang="en-US" sz="1400">
            <a:solidFill>
              <a:schemeClr val="dk1"/>
            </a:solidFill>
            <a:effectLst/>
            <a:latin typeface="+mn-lt"/>
            <a:ea typeface="+mn-ea"/>
            <a:cs typeface="+mn-cs"/>
          </a:endParaRPr>
        </a:p>
        <a:p>
          <a:pPr lvl="0"/>
          <a:r>
            <a:rPr lang="pl-PL" sz="1400" b="1">
              <a:solidFill>
                <a:schemeClr val="dk1"/>
              </a:solidFill>
              <a:effectLst/>
              <a:latin typeface="+mn-lt"/>
              <a:ea typeface="+mn-ea"/>
              <a:cs typeface="+mn-cs"/>
            </a:rPr>
            <a:t>8.</a:t>
          </a:r>
          <a:r>
            <a:rPr lang="pl-PL" sz="1400" b="1" baseline="0">
              <a:solidFill>
                <a:schemeClr val="dk1"/>
              </a:solidFill>
              <a:effectLst/>
              <a:latin typeface="+mn-lt"/>
              <a:ea typeface="+mn-ea"/>
              <a:cs typeface="+mn-cs"/>
            </a:rPr>
            <a:t> </a:t>
          </a:r>
          <a:r>
            <a:rPr lang="en-US" sz="1400">
              <a:solidFill>
                <a:schemeClr val="dk1"/>
              </a:solidFill>
              <a:effectLst/>
              <a:latin typeface="+mn-lt"/>
              <a:ea typeface="+mn-ea"/>
              <a:cs typeface="+mn-cs"/>
            </a:rPr>
            <a:t>Feel free to give your opinions or report potential improvements under the “Feedback” sheet.</a:t>
          </a:r>
        </a:p>
        <a:p>
          <a:pPr algn="ctr"/>
          <a:endParaRPr lang="pl-PL" sz="1100" b="0" baseline="0"/>
        </a:p>
        <a:p>
          <a:pPr algn="ct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304800</xdr:colOff>
      <xdr:row>2</xdr:row>
      <xdr:rowOff>38100</xdr:rowOff>
    </xdr:from>
    <xdr:to>
      <xdr:col>16</xdr:col>
      <xdr:colOff>114300</xdr:colOff>
      <xdr:row>24</xdr:row>
      <xdr:rowOff>0</xdr:rowOff>
    </xdr:to>
    <xdr:graphicFrame macro="">
      <xdr:nvGraphicFramePr>
        <xdr:cNvPr id="2" name="Chart 1">
          <a:extLst>
            <a:ext uri="{FF2B5EF4-FFF2-40B4-BE49-F238E27FC236}">
              <a16:creationId xmlns:a16="http://schemas.microsoft.com/office/drawing/2014/main" id="{DEEFE96B-8ADD-8E8E-11E5-D30FEC656D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596900</xdr:colOff>
      <xdr:row>25</xdr:row>
      <xdr:rowOff>31750</xdr:rowOff>
    </xdr:to>
    <xdr:sp macro="" textlink="">
      <xdr:nvSpPr>
        <xdr:cNvPr id="2" name="TextBox 1">
          <a:extLst>
            <a:ext uri="{FF2B5EF4-FFF2-40B4-BE49-F238E27FC236}">
              <a16:creationId xmlns:a16="http://schemas.microsoft.com/office/drawing/2014/main" id="{7145D729-A415-ED42-1B98-9D82D894DBAB}"/>
            </a:ext>
          </a:extLst>
        </xdr:cNvPr>
        <xdr:cNvSpPr txBox="1"/>
      </xdr:nvSpPr>
      <xdr:spPr>
        <a:xfrm>
          <a:off x="0" y="0"/>
          <a:ext cx="7302500" cy="4635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mn-lt"/>
              <a:ea typeface="+mn-ea"/>
              <a:cs typeface="+mn-cs"/>
            </a:rPr>
            <a:t>MIT License</a:t>
          </a: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Copyright (c) 2026 Jakub</a:t>
          </a:r>
          <a:r>
            <a:rPr lang="pl-PL" sz="1100" b="1" baseline="0">
              <a:solidFill>
                <a:schemeClr val="dk1"/>
              </a:solidFill>
              <a:effectLst/>
              <a:latin typeface="+mn-lt"/>
              <a:ea typeface="+mn-ea"/>
              <a:cs typeface="+mn-cs"/>
            </a:rPr>
            <a:t> Klinger</a:t>
          </a:r>
          <a:endParaRPr lang="en-US" sz="1100" b="1">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Permission is hereby granted, free of charge, to any person obtaining a copy</a:t>
          </a:r>
          <a:r>
            <a:rPr lang="pl-PL" sz="1100" baseline="0">
              <a:solidFill>
                <a:schemeClr val="dk1"/>
              </a:solidFill>
              <a:effectLst/>
              <a:latin typeface="+mn-lt"/>
              <a:ea typeface="+mn-ea"/>
              <a:cs typeface="+mn-cs"/>
            </a:rPr>
            <a:t> </a:t>
          </a:r>
          <a:r>
            <a:rPr lang="en-US" sz="1100">
              <a:solidFill>
                <a:schemeClr val="dk1"/>
              </a:solidFill>
              <a:effectLst/>
              <a:latin typeface="+mn-lt"/>
              <a:ea typeface="+mn-ea"/>
              <a:cs typeface="+mn-cs"/>
            </a:rPr>
            <a:t>of this software and associated documentation files (the "Software"), to dealin the Software without restriction, including without limitation the rights</a:t>
          </a:r>
        </a:p>
        <a:p>
          <a:r>
            <a:rPr lang="en-US" sz="1100">
              <a:solidFill>
                <a:schemeClr val="dk1"/>
              </a:solidFill>
              <a:effectLst/>
              <a:latin typeface="+mn-lt"/>
              <a:ea typeface="+mn-ea"/>
              <a:cs typeface="+mn-cs"/>
            </a:rPr>
            <a:t>to use, copy, modify, merge, publish, distribute, sublicense, and/or sell</a:t>
          </a:r>
          <a:r>
            <a:rPr lang="pl-PL" sz="1100" baseline="0">
              <a:solidFill>
                <a:schemeClr val="dk1"/>
              </a:solidFill>
              <a:effectLst/>
              <a:latin typeface="+mn-lt"/>
              <a:ea typeface="+mn-ea"/>
              <a:cs typeface="+mn-cs"/>
            </a:rPr>
            <a:t> </a:t>
          </a:r>
          <a:r>
            <a:rPr lang="en-US" sz="1100">
              <a:solidFill>
                <a:schemeClr val="dk1"/>
              </a:solidFill>
              <a:effectLst/>
              <a:latin typeface="+mn-lt"/>
              <a:ea typeface="+mn-ea"/>
              <a:cs typeface="+mn-cs"/>
            </a:rPr>
            <a:t>copies of the Software, and to permit persons to whom the Software is</a:t>
          </a:r>
          <a:r>
            <a:rPr lang="pl-PL" sz="1100" baseline="0">
              <a:solidFill>
                <a:schemeClr val="dk1"/>
              </a:solidFill>
              <a:effectLst/>
              <a:latin typeface="+mn-lt"/>
              <a:ea typeface="+mn-ea"/>
              <a:cs typeface="+mn-cs"/>
            </a:rPr>
            <a:t> </a:t>
          </a:r>
          <a:r>
            <a:rPr lang="en-US" sz="1100">
              <a:solidFill>
                <a:schemeClr val="dk1"/>
              </a:solidFill>
              <a:effectLst/>
              <a:latin typeface="+mn-lt"/>
              <a:ea typeface="+mn-ea"/>
              <a:cs typeface="+mn-cs"/>
            </a:rPr>
            <a:t>furnished to do so, subject to the following conditions: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 above copyright notice and this permission notice shall be included in all</a:t>
          </a:r>
          <a:r>
            <a:rPr lang="pl-PL" sz="1100" baseline="0">
              <a:solidFill>
                <a:schemeClr val="dk1"/>
              </a:solidFill>
              <a:effectLst/>
              <a:latin typeface="+mn-lt"/>
              <a:ea typeface="+mn-ea"/>
              <a:cs typeface="+mn-cs"/>
            </a:rPr>
            <a:t> </a:t>
          </a:r>
          <a:r>
            <a:rPr lang="en-US" sz="1100">
              <a:solidFill>
                <a:schemeClr val="dk1"/>
              </a:solidFill>
              <a:effectLst/>
              <a:latin typeface="+mn-lt"/>
              <a:ea typeface="+mn-ea"/>
              <a:cs typeface="+mn-cs"/>
            </a:rPr>
            <a:t>copies or substantial portions of the Software.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 SOFTWARE IS PROVIDED "AS IS", WITHOUT WARRANTY OF ANY KIND, EXPRESS OR</a:t>
          </a:r>
          <a:r>
            <a:rPr lang="pl-PL" sz="1100" baseline="0">
              <a:solidFill>
                <a:schemeClr val="dk1"/>
              </a:solidFill>
              <a:effectLst/>
              <a:latin typeface="+mn-lt"/>
              <a:ea typeface="+mn-ea"/>
              <a:cs typeface="+mn-cs"/>
            </a:rPr>
            <a:t> </a:t>
          </a:r>
          <a:r>
            <a:rPr lang="en-US" sz="1100">
              <a:solidFill>
                <a:schemeClr val="dk1"/>
              </a:solidFill>
              <a:effectLst/>
              <a:latin typeface="+mn-lt"/>
              <a:ea typeface="+mn-ea"/>
              <a:cs typeface="+mn-cs"/>
            </a:rPr>
            <a:t>IMPLIED, INCLUDING BUT NOT LIMITED TO THE WARRANTIES OF MERCHANTABILITY,</a:t>
          </a:r>
          <a:r>
            <a:rPr lang="pl-PL" sz="1100" baseline="0">
              <a:solidFill>
                <a:schemeClr val="dk1"/>
              </a:solidFill>
              <a:effectLst/>
              <a:latin typeface="+mn-lt"/>
              <a:ea typeface="+mn-ea"/>
              <a:cs typeface="+mn-cs"/>
            </a:rPr>
            <a:t> </a:t>
          </a:r>
          <a:r>
            <a:rPr lang="en-US" sz="1100">
              <a:solidFill>
                <a:schemeClr val="dk1"/>
              </a:solidFill>
              <a:effectLst/>
              <a:latin typeface="+mn-lt"/>
              <a:ea typeface="+mn-ea"/>
              <a:cs typeface="+mn-cs"/>
            </a:rPr>
            <a:t>FITNESS FOR A PARTICULAR PURPOSE AND NONINFRINGEMENT. IN NO EVENT SHALL THE</a:t>
          </a:r>
          <a:r>
            <a:rPr lang="pl-PL" sz="1100" baseline="0">
              <a:solidFill>
                <a:schemeClr val="dk1"/>
              </a:solidFill>
              <a:effectLst/>
              <a:latin typeface="+mn-lt"/>
              <a:ea typeface="+mn-ea"/>
              <a:cs typeface="+mn-cs"/>
            </a:rPr>
            <a:t> </a:t>
          </a:r>
          <a:r>
            <a:rPr lang="en-US" sz="1100">
              <a:solidFill>
                <a:schemeClr val="dk1"/>
              </a:solidFill>
              <a:effectLst/>
              <a:latin typeface="+mn-lt"/>
              <a:ea typeface="+mn-ea"/>
              <a:cs typeface="+mn-cs"/>
            </a:rPr>
            <a:t>AUTHORS OR COPYRIGHT HOLDERS BE LIABLE FOR ANY CLAIM, DAMAGES OR OTHER</a:t>
          </a:r>
        </a:p>
        <a:p>
          <a:r>
            <a:rPr lang="en-US" sz="1100">
              <a:solidFill>
                <a:schemeClr val="dk1"/>
              </a:solidFill>
              <a:effectLst/>
              <a:latin typeface="+mn-lt"/>
              <a:ea typeface="+mn-ea"/>
              <a:cs typeface="+mn-cs"/>
            </a:rPr>
            <a:t>LIABILITY, WHETHER IN AN ACTION OF CONTRACT, TORT OR OTHERWISE, ARISING FROM,</a:t>
          </a:r>
          <a:r>
            <a:rPr lang="pl-PL" sz="1100" baseline="0">
              <a:solidFill>
                <a:schemeClr val="dk1"/>
              </a:solidFill>
              <a:effectLst/>
              <a:latin typeface="+mn-lt"/>
              <a:ea typeface="+mn-ea"/>
              <a:cs typeface="+mn-cs"/>
            </a:rPr>
            <a:t> </a:t>
          </a:r>
          <a:r>
            <a:rPr lang="en-US" sz="1100">
              <a:solidFill>
                <a:schemeClr val="dk1"/>
              </a:solidFill>
              <a:effectLst/>
              <a:latin typeface="+mn-lt"/>
              <a:ea typeface="+mn-ea"/>
              <a:cs typeface="+mn-cs"/>
            </a:rPr>
            <a:t>OUT OF OR IN CONNECTION WITH THE SOFTWARE OR THE USE OR OTHER DEALINGS IN THE</a:t>
          </a:r>
        </a:p>
        <a:p>
          <a:r>
            <a:rPr lang="en-US" sz="1100">
              <a:solidFill>
                <a:schemeClr val="dk1"/>
              </a:solidFill>
              <a:effectLst/>
              <a:latin typeface="+mn-lt"/>
              <a:ea typeface="+mn-ea"/>
              <a:cs typeface="+mn-cs"/>
            </a:rPr>
            <a:t>SOFTWARE.</a:t>
          </a:r>
        </a:p>
        <a:p>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kub Klinger" refreshedDate="46268.815257638889" createdVersion="8" refreshedVersion="8" minRefreshableVersion="3" recordCount="7" xr:uid="{036A9A88-0265-49EC-8CAA-2D0E60F91C77}">
  <cacheSource type="worksheet">
    <worksheetSource name="Table1"/>
  </cacheSource>
  <cacheFields count="15">
    <cacheField name="Date" numFmtId="0">
      <sharedItems containsNonDate="0" containsDate="1" containsString="0" containsBlank="1" minDate="2026-08-31T00:00:00" maxDate="2026-09-04T00:00:00" count="5">
        <d v="2026-08-31T00:00:00"/>
        <d v="2026-09-01T00:00:00"/>
        <d v="2026-09-02T00:00:00"/>
        <d v="2026-09-03T00:00:00"/>
        <m/>
      </sharedItems>
      <fieldGroup par="14"/>
    </cacheField>
    <cacheField name="Account Creation" numFmtId="0">
      <sharedItems containsString="0" containsBlank="1" containsNumber="1" containsInteger="1" minValue="1" maxValue="4"/>
    </cacheField>
    <cacheField name="AML &amp; Risk Assesment" numFmtId="0">
      <sharedItems containsString="0" containsBlank="1" containsNumber="1" containsInteger="1" minValue="2" maxValue="2"/>
    </cacheField>
    <cacheField name="Correspondence" numFmtId="0">
      <sharedItems containsString="0" containsBlank="1" containsNumber="1" containsInteger="1" minValue="1" maxValue="1"/>
    </cacheField>
    <cacheField name="Escheatment" numFmtId="0">
      <sharedItems containsString="0" containsBlank="1" containsNumber="1" containsInteger="1" minValue="1" maxValue="1"/>
    </cacheField>
    <cacheField name="Maintenance" numFmtId="0">
      <sharedItems containsString="0" containsBlank="1" containsNumber="1" containsInteger="1" minValue="2" maxValue="4"/>
    </cacheField>
    <cacheField name="Purchase" numFmtId="0">
      <sharedItems containsString="0" containsBlank="1" containsNumber="1" containsInteger="1" minValue="3" maxValue="5"/>
    </cacheField>
    <cacheField name="Redemption" numFmtId="0">
      <sharedItems containsString="0" containsBlank="1" containsNumber="1" containsInteger="1" minValue="1" maxValue="3"/>
    </cacheField>
    <cacheField name="Special Services" numFmtId="0">
      <sharedItems containsString="0" containsBlank="1" containsNumber="1" containsInteger="1" minValue="8" maxValue="8"/>
    </cacheField>
    <cacheField name="Statements &amp; Tax Docs" numFmtId="0">
      <sharedItems containsString="0" containsBlank="1" containsNumber="1" containsInteger="1" minValue="1" maxValue="3"/>
    </cacheField>
    <cacheField name="Transfers" numFmtId="0">
      <sharedItems containsString="0" containsBlank="1" containsNumber="1" containsInteger="1" minValue="2" maxValue="2"/>
    </cacheField>
    <cacheField name="AHT" numFmtId="0">
      <sharedItems containsString="0" containsBlank="1" containsNumber="1" containsInteger="1" minValue="193" maxValue="463"/>
    </cacheField>
    <cacheField name="Productivity" numFmtId="0">
      <sharedItems containsString="0" containsBlank="1" containsNumber="1" minValue="0.48" maxValue="1.1599999999999999"/>
    </cacheField>
    <cacheField name="Days (Date)" numFmtId="0" databaseField="0">
      <fieldGroup base="0">
        <rangePr groupBy="days" startDate="2026-08-31T00:00:00" endDate="2026-09-04T00:00:00"/>
        <groupItems count="368">
          <s v="&lt;31.08.2026"/>
          <s v="1.sty"/>
          <s v="2.sty"/>
          <s v="3.sty"/>
          <s v="4.sty"/>
          <s v="5.sty"/>
          <s v="6.sty"/>
          <s v="7.sty"/>
          <s v="8.sty"/>
          <s v="9.sty"/>
          <s v="10.sty"/>
          <s v="11.sty"/>
          <s v="12.sty"/>
          <s v="13.sty"/>
          <s v="14.sty"/>
          <s v="15.sty"/>
          <s v="16.sty"/>
          <s v="17.sty"/>
          <s v="18.sty"/>
          <s v="19.sty"/>
          <s v="20.sty"/>
          <s v="21.sty"/>
          <s v="22.sty"/>
          <s v="23.sty"/>
          <s v="24.sty"/>
          <s v="25.sty"/>
          <s v="26.sty"/>
          <s v="27.sty"/>
          <s v="28.sty"/>
          <s v="29.sty"/>
          <s v="30.sty"/>
          <s v="31.sty"/>
          <s v="1.lut"/>
          <s v="2.lut"/>
          <s v="3.lut"/>
          <s v="4.lut"/>
          <s v="5.lut"/>
          <s v="6.lut"/>
          <s v="7.lut"/>
          <s v="8.lut"/>
          <s v="9.lut"/>
          <s v="10.lut"/>
          <s v="11.lut"/>
          <s v="12.lut"/>
          <s v="13.lut"/>
          <s v="14.lut"/>
          <s v="15.lut"/>
          <s v="16.lut"/>
          <s v="17.lut"/>
          <s v="18.lut"/>
          <s v="19.lut"/>
          <s v="20.lut"/>
          <s v="21.lut"/>
          <s v="22.lut"/>
          <s v="23.lut"/>
          <s v="24.lut"/>
          <s v="25.lut"/>
          <s v="26.lut"/>
          <s v="27.lut"/>
          <s v="28.lut"/>
          <s v="29.lut"/>
          <s v="1.mar"/>
          <s v="2.mar"/>
          <s v="3.mar"/>
          <s v="4.mar"/>
          <s v="5.mar"/>
          <s v="6.mar"/>
          <s v="7.mar"/>
          <s v="8.mar"/>
          <s v="9.mar"/>
          <s v="10.mar"/>
          <s v="11.mar"/>
          <s v="12.mar"/>
          <s v="13.mar"/>
          <s v="14.mar"/>
          <s v="15.mar"/>
          <s v="16.mar"/>
          <s v="17.mar"/>
          <s v="18.mar"/>
          <s v="19.mar"/>
          <s v="20.mar"/>
          <s v="21.mar"/>
          <s v="22.mar"/>
          <s v="23.mar"/>
          <s v="24.mar"/>
          <s v="25.mar"/>
          <s v="26.mar"/>
          <s v="27.mar"/>
          <s v="28.mar"/>
          <s v="29.mar"/>
          <s v="30.mar"/>
          <s v="31.mar"/>
          <s v="1.kwi"/>
          <s v="2.kwi"/>
          <s v="3.kwi"/>
          <s v="4.kwi"/>
          <s v="5.kwi"/>
          <s v="6.kwi"/>
          <s v="7.kwi"/>
          <s v="8.kwi"/>
          <s v="9.kwi"/>
          <s v="10.kwi"/>
          <s v="11.kwi"/>
          <s v="12.kwi"/>
          <s v="13.kwi"/>
          <s v="14.kwi"/>
          <s v="15.kwi"/>
          <s v="16.kwi"/>
          <s v="17.kwi"/>
          <s v="18.kwi"/>
          <s v="19.kwi"/>
          <s v="20.kwi"/>
          <s v="21.kwi"/>
          <s v="22.kwi"/>
          <s v="23.kwi"/>
          <s v="24.kwi"/>
          <s v="25.kwi"/>
          <s v="26.kwi"/>
          <s v="27.kwi"/>
          <s v="28.kwi"/>
          <s v="29.kwi"/>
          <s v="30.kwi"/>
          <s v="1.maj"/>
          <s v="2.maj"/>
          <s v="3.maj"/>
          <s v="4.maj"/>
          <s v="5.maj"/>
          <s v="6.maj"/>
          <s v="7.maj"/>
          <s v="8.maj"/>
          <s v="9.maj"/>
          <s v="10.maj"/>
          <s v="11.maj"/>
          <s v="12.maj"/>
          <s v="13.maj"/>
          <s v="14.maj"/>
          <s v="15.maj"/>
          <s v="16.maj"/>
          <s v="17.maj"/>
          <s v="18.maj"/>
          <s v="19.maj"/>
          <s v="20.maj"/>
          <s v="21.maj"/>
          <s v="22.maj"/>
          <s v="23.maj"/>
          <s v="24.maj"/>
          <s v="25.maj"/>
          <s v="26.maj"/>
          <s v="27.maj"/>
          <s v="28.maj"/>
          <s v="29.maj"/>
          <s v="30.maj"/>
          <s v="31.maj"/>
          <s v="1.cze"/>
          <s v="2.cze"/>
          <s v="3.cze"/>
          <s v="4.cze"/>
          <s v="5.cze"/>
          <s v="6.cze"/>
          <s v="7.cze"/>
          <s v="8.cze"/>
          <s v="9.cze"/>
          <s v="10.cze"/>
          <s v="11.cze"/>
          <s v="12.cze"/>
          <s v="13.cze"/>
          <s v="14.cze"/>
          <s v="15.cze"/>
          <s v="16.cze"/>
          <s v="17.cze"/>
          <s v="18.cze"/>
          <s v="19.cze"/>
          <s v="20.cze"/>
          <s v="21.cze"/>
          <s v="22.cze"/>
          <s v="23.cze"/>
          <s v="24.cze"/>
          <s v="25.cze"/>
          <s v="26.cze"/>
          <s v="27.cze"/>
          <s v="28.cze"/>
          <s v="29.cze"/>
          <s v="30.cze"/>
          <s v="1.lip"/>
          <s v="2.lip"/>
          <s v="3.lip"/>
          <s v="4.lip"/>
          <s v="5.lip"/>
          <s v="6.lip"/>
          <s v="7.lip"/>
          <s v="8.lip"/>
          <s v="9.lip"/>
          <s v="10.lip"/>
          <s v="11.lip"/>
          <s v="12.lip"/>
          <s v="13.lip"/>
          <s v="14.lip"/>
          <s v="15.lip"/>
          <s v="16.lip"/>
          <s v="17.lip"/>
          <s v="18.lip"/>
          <s v="19.lip"/>
          <s v="20.lip"/>
          <s v="21.lip"/>
          <s v="22.lip"/>
          <s v="23.lip"/>
          <s v="24.lip"/>
          <s v="25.lip"/>
          <s v="26.lip"/>
          <s v="27.lip"/>
          <s v="28.lip"/>
          <s v="29.lip"/>
          <s v="30.lip"/>
          <s v="31.lip"/>
          <s v="1.sie"/>
          <s v="2.sie"/>
          <s v="3.sie"/>
          <s v="4.sie"/>
          <s v="5.sie"/>
          <s v="6.sie"/>
          <s v="7.sie"/>
          <s v="8.sie"/>
          <s v="9.sie"/>
          <s v="10.sie"/>
          <s v="11.sie"/>
          <s v="12.sie"/>
          <s v="13.sie"/>
          <s v="14.sie"/>
          <s v="15.sie"/>
          <s v="16.sie"/>
          <s v="17.sie"/>
          <s v="18.sie"/>
          <s v="19.sie"/>
          <s v="20.sie"/>
          <s v="21.sie"/>
          <s v="22.sie"/>
          <s v="23.sie"/>
          <s v="24.sie"/>
          <s v="25.sie"/>
          <s v="26.sie"/>
          <s v="27.sie"/>
          <s v="28.sie"/>
          <s v="29.sie"/>
          <s v="30.sie"/>
          <s v="31.sie"/>
          <s v="1.wrz"/>
          <s v="2.wrz"/>
          <s v="3.wrz"/>
          <s v="4.wrz"/>
          <s v="5.wrz"/>
          <s v="6.wrz"/>
          <s v="7.wrz"/>
          <s v="8.wrz"/>
          <s v="9.wrz"/>
          <s v="10.wrz"/>
          <s v="11.wrz"/>
          <s v="12.wrz"/>
          <s v="13.wrz"/>
          <s v="14.wrz"/>
          <s v="15.wrz"/>
          <s v="16.wrz"/>
          <s v="17.wrz"/>
          <s v="18.wrz"/>
          <s v="19.wrz"/>
          <s v="20.wrz"/>
          <s v="21.wrz"/>
          <s v="22.wrz"/>
          <s v="23.wrz"/>
          <s v="24.wrz"/>
          <s v="25.wrz"/>
          <s v="26.wrz"/>
          <s v="27.wrz"/>
          <s v="28.wrz"/>
          <s v="29.wrz"/>
          <s v="30.wrz"/>
          <s v="1.paź"/>
          <s v="2.paź"/>
          <s v="3.paź"/>
          <s v="4.paź"/>
          <s v="5.paź"/>
          <s v="6.paź"/>
          <s v="7.paź"/>
          <s v="8.paź"/>
          <s v="9.paź"/>
          <s v="10.paź"/>
          <s v="11.paź"/>
          <s v="12.paź"/>
          <s v="13.paź"/>
          <s v="14.paź"/>
          <s v="15.paź"/>
          <s v="16.paź"/>
          <s v="17.paź"/>
          <s v="18.paź"/>
          <s v="19.paź"/>
          <s v="20.paź"/>
          <s v="21.paź"/>
          <s v="22.paź"/>
          <s v="23.paź"/>
          <s v="24.paź"/>
          <s v="25.paź"/>
          <s v="26.paź"/>
          <s v="27.paź"/>
          <s v="28.paź"/>
          <s v="29.paź"/>
          <s v="30.paź"/>
          <s v="31.paź"/>
          <s v="1.lis"/>
          <s v="2.lis"/>
          <s v="3.lis"/>
          <s v="4.lis"/>
          <s v="5.lis"/>
          <s v="6.lis"/>
          <s v="7.lis"/>
          <s v="8.lis"/>
          <s v="9.lis"/>
          <s v="10.lis"/>
          <s v="11.lis"/>
          <s v="12.lis"/>
          <s v="13.lis"/>
          <s v="14.lis"/>
          <s v="15.lis"/>
          <s v="16.lis"/>
          <s v="17.lis"/>
          <s v="18.lis"/>
          <s v="19.lis"/>
          <s v="20.lis"/>
          <s v="21.lis"/>
          <s v="22.lis"/>
          <s v="23.lis"/>
          <s v="24.lis"/>
          <s v="25.lis"/>
          <s v="26.lis"/>
          <s v="27.lis"/>
          <s v="28.lis"/>
          <s v="29.lis"/>
          <s v="30.lis"/>
          <s v="1.gru"/>
          <s v="2.gru"/>
          <s v="3.gru"/>
          <s v="4.gru"/>
          <s v="5.gru"/>
          <s v="6.gru"/>
          <s v="7.gru"/>
          <s v="8.gru"/>
          <s v="9.gru"/>
          <s v="10.gru"/>
          <s v="11.gru"/>
          <s v="12.gru"/>
          <s v="13.gru"/>
          <s v="14.gru"/>
          <s v="15.gru"/>
          <s v="16.gru"/>
          <s v="17.gru"/>
          <s v="18.gru"/>
          <s v="19.gru"/>
          <s v="20.gru"/>
          <s v="21.gru"/>
          <s v="22.gru"/>
          <s v="23.gru"/>
          <s v="24.gru"/>
          <s v="25.gru"/>
          <s v="26.gru"/>
          <s v="27.gru"/>
          <s v="28.gru"/>
          <s v="29.gru"/>
          <s v="30.gru"/>
          <s v="31.gru"/>
          <s v="&gt;4.09.2026"/>
        </groupItems>
      </fieldGroup>
    </cacheField>
    <cacheField name="Months (Date)" numFmtId="0" databaseField="0">
      <fieldGroup base="0">
        <rangePr groupBy="months" startDate="2026-08-31T00:00:00" endDate="2026-09-04T00:00:00"/>
        <groupItems count="14">
          <s v="&lt;31.08.2026"/>
          <s v="sty"/>
          <s v="lut"/>
          <s v="mar"/>
          <s v="kwi"/>
          <s v="maj"/>
          <s v="cze"/>
          <s v="lip"/>
          <s v="sie"/>
          <s v="wrz"/>
          <s v="paź"/>
          <s v="lis"/>
          <s v="gru"/>
          <s v="&gt;4.09.202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n v="1"/>
    <m/>
    <n v="1"/>
    <n v="1"/>
    <m/>
    <n v="5"/>
    <n v="1"/>
    <m/>
    <m/>
    <n v="2"/>
    <n v="193"/>
    <n v="0.48"/>
  </r>
  <r>
    <x v="1"/>
    <n v="3"/>
    <n v="2"/>
    <n v="1"/>
    <n v="1"/>
    <n v="4"/>
    <m/>
    <n v="3"/>
    <n v="8"/>
    <n v="2"/>
    <m/>
    <n v="463"/>
    <n v="1.1599999999999999"/>
  </r>
  <r>
    <x v="2"/>
    <n v="2"/>
    <n v="2"/>
    <n v="1"/>
    <n v="1"/>
    <n v="2"/>
    <m/>
    <m/>
    <n v="8"/>
    <n v="3"/>
    <m/>
    <n v="363"/>
    <n v="0.91"/>
  </r>
  <r>
    <x v="3"/>
    <n v="4"/>
    <m/>
    <m/>
    <m/>
    <n v="4"/>
    <n v="3"/>
    <n v="1"/>
    <m/>
    <n v="1"/>
    <m/>
    <n v="255"/>
    <n v="0.64"/>
  </r>
  <r>
    <x v="4"/>
    <m/>
    <m/>
    <m/>
    <m/>
    <m/>
    <m/>
    <m/>
    <m/>
    <m/>
    <m/>
    <m/>
    <m/>
  </r>
  <r>
    <x v="4"/>
    <m/>
    <m/>
    <m/>
    <m/>
    <m/>
    <m/>
    <m/>
    <m/>
    <m/>
    <m/>
    <m/>
    <m/>
  </r>
  <r>
    <x v="4"/>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53ED09-5B1A-49DC-9625-5A133208785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Date">
  <location ref="A3:B9" firstHeaderRow="1" firstDataRow="1" firstDataCol="1"/>
  <pivotFields count="15">
    <pivotField axis="axisRow" showAll="0">
      <items count="6">
        <item x="0"/>
        <item x="1"/>
        <item x="2"/>
        <item x="3"/>
        <item x="4"/>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x="8"/>
        <item x="9"/>
        <item sd="0" x="10"/>
        <item sd="0" x="11"/>
        <item sd="0" x="12"/>
        <item sd="0" x="13"/>
        <item t="default"/>
      </items>
    </pivotField>
  </pivotFields>
  <rowFields count="1">
    <field x="0"/>
  </rowFields>
  <rowItems count="6">
    <i>
      <x/>
    </i>
    <i>
      <x v="1"/>
    </i>
    <i>
      <x v="2"/>
    </i>
    <i>
      <x v="3"/>
    </i>
    <i>
      <x v="4"/>
    </i>
    <i t="grand">
      <x/>
    </i>
  </rowItems>
  <colItems count="1">
    <i/>
  </colItems>
  <dataFields count="1">
    <dataField name="Sum of Productivity" fld="12" baseField="0" baseItem="0" numFmtId="10"/>
  </dataFields>
  <formats count="2">
    <format dxfId="5">
      <pivotArea dataOnly="0" labelOnly="1" grandRow="1" outline="0" fieldPosition="0"/>
    </format>
    <format dxfId="4">
      <pivotArea grandRow="1"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E778E29-4744-4240-8B41-3B2BA221052C}" name="Table1" displayName="Table1" ref="A3:M10" totalsRowShown="0" headerRowDxfId="11">
  <autoFilter ref="A3:M10" xr:uid="{BE778E29-4744-4240-8B41-3B2BA221052C}"/>
  <tableColumns count="13">
    <tableColumn id="1" xr3:uid="{DA062DAF-AA40-4D54-B2A0-E64F4781CC83}" name="Date" dataDxfId="10"/>
    <tableColumn id="2" xr3:uid="{8666DA06-8618-48EC-9C6A-BBDD7454EDE3}" name="Account Creation"/>
    <tableColumn id="3" xr3:uid="{351CD041-DAEF-4CEA-986E-B500EE480B8E}" name="AML &amp; Risk Assesment"/>
    <tableColumn id="4" xr3:uid="{22D770ED-48DF-4EF3-A43A-749789D54A54}" name="Correspondence"/>
    <tableColumn id="5" xr3:uid="{56BDCE48-D34C-4911-9FDB-2FC96E1D3D74}" name="Escheatment"/>
    <tableColumn id="6" xr3:uid="{BB811B5C-D6C9-458B-82DF-FB6EB920EC43}" name="Maintenance"/>
    <tableColumn id="7" xr3:uid="{778FF40A-7CE9-4B63-B5E4-32FECDB00167}" name="Purchase"/>
    <tableColumn id="8" xr3:uid="{53EFD088-6709-4EFC-993B-F49805DF9D8D}" name="Redemption"/>
    <tableColumn id="9" xr3:uid="{1EBFF9AE-5B2A-4B67-8D60-97B4E10773CF}" name="Special Services"/>
    <tableColumn id="10" xr3:uid="{8FF2C526-A5D5-4E52-AC0D-2360DB859285}" name="Statements &amp; Tax Docs"/>
    <tableColumn id="11" xr3:uid="{3211206E-A3D6-4420-AD6E-D1AE91AEEA8B}" name="Transfers"/>
    <tableColumn id="12" xr3:uid="{DF0D721A-8B5C-491E-8F60-9E08B3925CEA}" name="AHT" dataDxfId="9">
      <calculatedColumnFormula>SUMPRODUCT(B2:K2,$P$16:$Y$16)</calculatedColumnFormula>
    </tableColumn>
    <tableColumn id="13" xr3:uid="{076A5D2F-9E2E-4DC8-B292-CB3ED984D916}" name="Productivity" dataDxfId="8">
      <calculatedColumnFormula>ROUND(L2/400, 2)</calculatedColumnFormula>
    </tableColumn>
  </tableColumns>
  <tableStyleInfo name="TableStyleMedium2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50B8724-6C4F-4A14-8F18-6C6C840BA43C}" name="Tabela3" displayName="Tabela3" ref="O12:S13" totalsRowShown="0">
  <autoFilter ref="O12:S13" xr:uid="{350B8724-6C4F-4A14-8F18-6C6C840BA43C}"/>
  <tableColumns count="5">
    <tableColumn id="1" xr3:uid="{31DEAF59-56AA-409C-A562-007B6E70FAFA}" name="Today's AHT">
      <calculatedColumnFormula>_xlfn.XLOOKUP(TODAY(),A:A,L:L,0)</calculatedColumnFormula>
    </tableColumn>
    <tableColumn id="2" xr3:uid="{1AD2242F-28D4-4315-AA11-5DD0050F90C6}" name="Average AHT">
      <calculatedColumnFormula>IFERROR(ROUND(AVERAGEIF(L:L, "&gt;0"), 2), 0)</calculatedColumnFormula>
    </tableColumn>
    <tableColumn id="3" xr3:uid="{B58EF54D-1E11-4660-AD42-C9D3BD86E46C}" name="Top Productivity" dataDxfId="7">
      <calculatedColumnFormula>TEXT(INDEX(A:A, MATCH(MAX(M:M), M:M, 0)), "DD/MM")
 &amp; " - "
 &amp; TEXT(MAX(M:M), "0,00%")</calculatedColumnFormula>
    </tableColumn>
    <tableColumn id="4" xr3:uid="{699777C1-06B7-46F8-A5F4-EEAA1C2EE301}" name="Average Productivity" dataDxfId="6">
      <calculatedColumnFormula>IFERROR(ROUND(AVERAGEIF(M:M, "&gt;0"), 2), 0)</calculatedColumnFormula>
    </tableColumn>
    <tableColumn id="5" xr3:uid="{CD6A040D-E60F-4D69-B209-F8A4D0EFFD1F}" name="Today's Productivity">
      <calculatedColumnFormula>_xlfn.XLOOKUP(TODAY(),A:A,M:M,0)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453C9-1B5C-4474-BEAF-EDA702E9DE27}">
  <sheetPr codeName="Arkusz1"/>
  <dimension ref="A1:Y16"/>
  <sheetViews>
    <sheetView tabSelected="1" zoomScale="80" zoomScaleNormal="80" workbookViewId="0">
      <selection activeCell="M10" sqref="M10"/>
    </sheetView>
  </sheetViews>
  <sheetFormatPr defaultRowHeight="14.5" x14ac:dyDescent="0.35"/>
  <cols>
    <col min="1" max="1" width="12.90625" customWidth="1"/>
    <col min="2" max="2" width="10.90625" customWidth="1"/>
    <col min="3" max="3" width="15.90625" customWidth="1"/>
    <col min="4" max="4" width="15.7265625" customWidth="1"/>
    <col min="5" max="5" width="13.7265625" customWidth="1"/>
    <col min="6" max="6" width="11.90625" customWidth="1"/>
    <col min="7" max="7" width="11.1796875" customWidth="1"/>
    <col min="8" max="8" width="13.453125" customWidth="1"/>
    <col min="9" max="9" width="14.81640625" customWidth="1"/>
    <col min="10" max="10" width="13.26953125" customWidth="1"/>
    <col min="11" max="11" width="9.54296875" customWidth="1"/>
    <col min="12" max="12" width="9.1796875" customWidth="1"/>
    <col min="13" max="13" width="11.7265625" customWidth="1"/>
    <col min="14" max="14" width="34.90625" customWidth="1"/>
    <col min="15" max="15" width="13.90625" customWidth="1"/>
    <col min="16" max="16" width="8.6328125" customWidth="1"/>
    <col min="17" max="17" width="9.7265625" customWidth="1"/>
    <col min="18" max="18" width="8.81640625" customWidth="1"/>
    <col min="19" max="19" width="8.1796875" customWidth="1"/>
    <col min="20" max="20" width="8.81640625" customWidth="1"/>
    <col min="21" max="21" width="6.36328125" customWidth="1"/>
    <col min="22" max="22" width="5.453125" customWidth="1"/>
    <col min="23" max="23" width="6.08984375" customWidth="1"/>
    <col min="24" max="24" width="5.08984375" customWidth="1"/>
    <col min="25" max="25" width="9.81640625" customWidth="1"/>
  </cols>
  <sheetData>
    <row r="1" spans="1:25" ht="38" customHeight="1" x14ac:dyDescent="0.35">
      <c r="A1" s="5"/>
      <c r="B1" s="5"/>
      <c r="C1" s="5"/>
      <c r="D1" s="5"/>
      <c r="E1" s="5"/>
      <c r="F1" s="5"/>
      <c r="G1" s="5"/>
      <c r="H1" s="5"/>
      <c r="I1" s="5"/>
      <c r="J1" s="5"/>
      <c r="K1" s="5"/>
      <c r="L1" s="4"/>
      <c r="M1" s="4"/>
      <c r="N1" s="6" t="s">
        <v>13</v>
      </c>
    </row>
    <row r="2" spans="1:25" ht="110" customHeight="1" x14ac:dyDescent="0.35">
      <c r="A2" s="5"/>
      <c r="B2" s="5"/>
      <c r="C2" s="5"/>
      <c r="D2" s="5"/>
      <c r="E2" s="5"/>
      <c r="F2" s="5"/>
      <c r="G2" s="5"/>
      <c r="H2" s="5"/>
      <c r="I2" s="5"/>
      <c r="J2" s="5"/>
      <c r="K2" s="5"/>
      <c r="L2" s="4"/>
      <c r="M2" s="4"/>
      <c r="N2" s="11" t="s">
        <v>9</v>
      </c>
    </row>
    <row r="3" spans="1:25" ht="42.5" customHeight="1" x14ac:dyDescent="0.35">
      <c r="A3" s="2" t="s">
        <v>3</v>
      </c>
      <c r="B3" s="3" t="s">
        <v>23</v>
      </c>
      <c r="C3" s="3" t="s">
        <v>26</v>
      </c>
      <c r="D3" s="2" t="s">
        <v>5</v>
      </c>
      <c r="E3" s="2" t="s">
        <v>12</v>
      </c>
      <c r="F3" s="2" t="s">
        <v>4</v>
      </c>
      <c r="G3" s="2" t="s">
        <v>8</v>
      </c>
      <c r="H3" s="2" t="s">
        <v>9</v>
      </c>
      <c r="I3" s="3" t="s">
        <v>24</v>
      </c>
      <c r="J3" s="3" t="s">
        <v>25</v>
      </c>
      <c r="K3" s="2" t="s">
        <v>7</v>
      </c>
      <c r="L3" s="2" t="s">
        <v>15</v>
      </c>
      <c r="M3" s="2" t="s">
        <v>16</v>
      </c>
    </row>
    <row r="4" spans="1:25" x14ac:dyDescent="0.35">
      <c r="A4" s="12">
        <v>46265</v>
      </c>
      <c r="B4">
        <v>1</v>
      </c>
      <c r="D4">
        <v>1</v>
      </c>
      <c r="E4">
        <v>1</v>
      </c>
      <c r="G4">
        <v>5</v>
      </c>
      <c r="H4">
        <v>1</v>
      </c>
      <c r="K4">
        <v>2</v>
      </c>
      <c r="L4">
        <f>SUMPRODUCT(B4:K4,$P$16:$Y$16)</f>
        <v>193</v>
      </c>
      <c r="M4" s="7">
        <f>ROUND(L4/400, 2)</f>
        <v>0.48</v>
      </c>
    </row>
    <row r="5" spans="1:25" x14ac:dyDescent="0.35">
      <c r="A5" s="12">
        <v>46266</v>
      </c>
      <c r="B5">
        <v>3</v>
      </c>
      <c r="C5">
        <v>2</v>
      </c>
      <c r="D5">
        <v>1</v>
      </c>
      <c r="E5">
        <v>1</v>
      </c>
      <c r="F5">
        <v>4</v>
      </c>
      <c r="H5">
        <v>3</v>
      </c>
      <c r="I5">
        <v>8</v>
      </c>
      <c r="J5">
        <v>2</v>
      </c>
      <c r="L5">
        <f>SUMPRODUCT(B5:K5,$P$16:$Y$16)</f>
        <v>463</v>
      </c>
      <c r="M5" s="7">
        <f>ROUND(L5/400, 2)</f>
        <v>1.1599999999999999</v>
      </c>
    </row>
    <row r="6" spans="1:25" x14ac:dyDescent="0.35">
      <c r="A6" s="12">
        <v>46267</v>
      </c>
      <c r="B6">
        <v>2</v>
      </c>
      <c r="C6">
        <v>2</v>
      </c>
      <c r="D6">
        <v>1</v>
      </c>
      <c r="E6">
        <v>1</v>
      </c>
      <c r="F6">
        <v>2</v>
      </c>
      <c r="I6">
        <v>8</v>
      </c>
      <c r="J6">
        <v>3</v>
      </c>
      <c r="L6">
        <f>SUMPRODUCT(B6:K6,$P$16:$Y$16)</f>
        <v>363</v>
      </c>
      <c r="M6" s="7">
        <f>ROUND(L6/400, 2)</f>
        <v>0.91</v>
      </c>
    </row>
    <row r="7" spans="1:25" x14ac:dyDescent="0.35">
      <c r="A7" s="12">
        <v>46268</v>
      </c>
      <c r="B7">
        <v>4</v>
      </c>
      <c r="F7">
        <v>4</v>
      </c>
      <c r="G7">
        <v>3</v>
      </c>
      <c r="H7">
        <v>1</v>
      </c>
      <c r="J7">
        <v>1</v>
      </c>
      <c r="L7">
        <f>SUMPRODUCT(B7:K7,$P$16:$Y$16)</f>
        <v>255</v>
      </c>
      <c r="M7" s="7">
        <f>ROUND(L7/400, 2)</f>
        <v>0.64</v>
      </c>
    </row>
    <row r="8" spans="1:25" x14ac:dyDescent="0.35">
      <c r="A8" s="13"/>
    </row>
    <row r="9" spans="1:25" x14ac:dyDescent="0.35">
      <c r="A9" s="13"/>
    </row>
    <row r="10" spans="1:25" x14ac:dyDescent="0.35">
      <c r="A10" s="13"/>
    </row>
    <row r="12" spans="1:25" x14ac:dyDescent="0.35">
      <c r="O12" t="s">
        <v>0</v>
      </c>
      <c r="P12" t="s">
        <v>2</v>
      </c>
      <c r="Q12" t="s">
        <v>17</v>
      </c>
      <c r="R12" t="s">
        <v>18</v>
      </c>
      <c r="S12" t="s">
        <v>1</v>
      </c>
    </row>
    <row r="13" spans="1:25" x14ac:dyDescent="0.35">
      <c r="O13">
        <f ca="1">_xlfn.XLOOKUP(TODAY(),A:A,L:L,0)</f>
        <v>255</v>
      </c>
      <c r="P13">
        <f>IFERROR(ROUND(AVERAGEIF(L:L, "&gt;0"), 2), 0)</f>
        <v>318.5</v>
      </c>
      <c r="Q13" t="str">
        <f>TEXT(INDEX(A:A, MATCH(MAX(M:M), M:M, 0)), "DD/MM")
 &amp; " - "
 &amp; TEXT(MAX(M:M), "0,00%")</f>
        <v>01/09 - 116,00%</v>
      </c>
      <c r="R13" s="7">
        <f>IFERROR(ROUND(AVERAGEIF(M:M, "&gt;0"), 2), 0)</f>
        <v>0.8</v>
      </c>
      <c r="S13">
        <f ca="1">_xlfn.XLOOKUP(TODAY(),A:A,M:M,0)</f>
        <v>0.64</v>
      </c>
    </row>
    <row r="15" spans="1:25" ht="16.5" customHeight="1" x14ac:dyDescent="0.35">
      <c r="O15" t="s">
        <v>20</v>
      </c>
      <c r="P15" s="1" t="s">
        <v>6</v>
      </c>
      <c r="Q15" s="1" t="s">
        <v>11</v>
      </c>
      <c r="R15" t="s">
        <v>5</v>
      </c>
      <c r="S15" t="s">
        <v>12</v>
      </c>
      <c r="T15" t="s">
        <v>4</v>
      </c>
      <c r="U15" t="s">
        <v>8</v>
      </c>
      <c r="V15" t="s">
        <v>9</v>
      </c>
      <c r="W15" s="1" t="s">
        <v>14</v>
      </c>
      <c r="X15" s="1" t="s">
        <v>10</v>
      </c>
      <c r="Y15" t="s">
        <v>7</v>
      </c>
    </row>
    <row r="16" spans="1:25" x14ac:dyDescent="0.35">
      <c r="O16" t="s">
        <v>19</v>
      </c>
      <c r="P16">
        <v>35</v>
      </c>
      <c r="Q16">
        <v>20</v>
      </c>
      <c r="R16">
        <v>18</v>
      </c>
      <c r="S16">
        <v>15</v>
      </c>
      <c r="T16">
        <v>15</v>
      </c>
      <c r="U16">
        <v>10</v>
      </c>
      <c r="V16">
        <v>15</v>
      </c>
      <c r="W16">
        <v>20</v>
      </c>
      <c r="X16">
        <v>10</v>
      </c>
      <c r="Y16">
        <v>30</v>
      </c>
    </row>
  </sheetData>
  <conditionalFormatting sqref="M4:M7">
    <cfRule type="cellIs" dxfId="17" priority="6" operator="lessThan">
      <formula>0.5</formula>
    </cfRule>
    <cfRule type="cellIs" dxfId="16" priority="5" operator="between">
      <formula>50</formula>
      <formula>70</formula>
    </cfRule>
    <cfRule type="cellIs" dxfId="15" priority="4" operator="greaterThan">
      <formula>70</formula>
    </cfRule>
  </conditionalFormatting>
  <conditionalFormatting sqref="M7">
    <cfRule type="cellIs" dxfId="14" priority="3" operator="between">
      <formula>0.5</formula>
      <formula>0.7</formula>
    </cfRule>
  </conditionalFormatting>
  <conditionalFormatting sqref="M4:M6">
    <cfRule type="cellIs" dxfId="13" priority="2" operator="between">
      <formula>0.5</formula>
      <formula>0.7</formula>
    </cfRule>
    <cfRule type="cellIs" dxfId="12" priority="1" operator="greaterThan">
      <formula>0.7</formula>
    </cfRule>
  </conditionalFormatting>
  <dataValidations count="1">
    <dataValidation type="list" allowBlank="1" showInputMessage="1" showErrorMessage="1" sqref="N2" xr:uid="{4A5AE1AD-0A6A-4962-9C65-61EEA1C86984}">
      <formula1>$B$3:$K$3</formula1>
    </dataValidation>
  </dataValidations>
  <pageMargins left="0.7" right="0.7" top="0.75" bottom="0.75" header="0.3" footer="0.3"/>
  <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5EE78-BBEE-4B2A-A90E-DFA04CD8C419}">
  <dimension ref="A3:B9"/>
  <sheetViews>
    <sheetView workbookViewId="0">
      <selection activeCell="B9" sqref="B9"/>
    </sheetView>
  </sheetViews>
  <sheetFormatPr defaultRowHeight="14.5" x14ac:dyDescent="0.35"/>
  <cols>
    <col min="1" max="1" width="11.08984375" bestFit="1" customWidth="1"/>
    <col min="2" max="2" width="18.08984375" bestFit="1" customWidth="1"/>
  </cols>
  <sheetData>
    <row r="3" spans="1:2" x14ac:dyDescent="0.35">
      <c r="A3" s="8" t="s">
        <v>3</v>
      </c>
      <c r="B3" t="s">
        <v>22</v>
      </c>
    </row>
    <row r="4" spans="1:2" x14ac:dyDescent="0.35">
      <c r="A4" s="10">
        <v>46265</v>
      </c>
      <c r="B4" s="7">
        <v>0.48</v>
      </c>
    </row>
    <row r="5" spans="1:2" x14ac:dyDescent="0.35">
      <c r="A5" s="10">
        <v>46266</v>
      </c>
      <c r="B5" s="7">
        <v>1.1599999999999999</v>
      </c>
    </row>
    <row r="6" spans="1:2" x14ac:dyDescent="0.35">
      <c r="A6" s="10">
        <v>46267</v>
      </c>
      <c r="B6" s="7">
        <v>0.91</v>
      </c>
    </row>
    <row r="7" spans="1:2" x14ac:dyDescent="0.35">
      <c r="A7" s="10">
        <v>46268</v>
      </c>
      <c r="B7" s="7">
        <v>0.64</v>
      </c>
    </row>
    <row r="8" spans="1:2" x14ac:dyDescent="0.35">
      <c r="A8" s="9" t="s">
        <v>27</v>
      </c>
      <c r="B8" s="7"/>
    </row>
    <row r="9" spans="1:2" x14ac:dyDescent="0.35">
      <c r="A9" s="22" t="s">
        <v>21</v>
      </c>
      <c r="B9" s="23">
        <v>3.19</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55B2E-E2EB-45DD-8B17-E2ED38C868EA}">
  <sheetPr codeName="Sheet2"/>
  <dimension ref="A1:C9"/>
  <sheetViews>
    <sheetView workbookViewId="0">
      <selection activeCell="D2" sqref="D2"/>
    </sheetView>
  </sheetViews>
  <sheetFormatPr defaultRowHeight="14.5" x14ac:dyDescent="0.35"/>
  <cols>
    <col min="1" max="1" width="19.08984375" style="14" customWidth="1"/>
    <col min="2" max="2" width="33.36328125" style="17" customWidth="1"/>
    <col min="3" max="3" width="27.81640625" style="20" customWidth="1"/>
  </cols>
  <sheetData>
    <row r="1" spans="1:3" x14ac:dyDescent="0.35">
      <c r="A1" s="19" t="s">
        <v>3</v>
      </c>
      <c r="B1" s="18" t="s">
        <v>28</v>
      </c>
      <c r="C1" s="21" t="s">
        <v>33</v>
      </c>
    </row>
    <row r="2" spans="1:3" x14ac:dyDescent="0.35">
      <c r="A2" s="15">
        <v>46265</v>
      </c>
      <c r="B2" s="17" t="s">
        <v>29</v>
      </c>
      <c r="C2" s="20" t="s">
        <v>34</v>
      </c>
    </row>
    <row r="3" spans="1:3" x14ac:dyDescent="0.35">
      <c r="A3" s="16">
        <v>46266</v>
      </c>
      <c r="B3" s="17" t="s">
        <v>30</v>
      </c>
    </row>
    <row r="4" spans="1:3" x14ac:dyDescent="0.35">
      <c r="A4" s="16">
        <v>46267</v>
      </c>
      <c r="B4" s="17" t="s">
        <v>31</v>
      </c>
    </row>
    <row r="5" spans="1:3" x14ac:dyDescent="0.35">
      <c r="A5" s="16">
        <v>46268</v>
      </c>
      <c r="B5" s="17" t="s">
        <v>32</v>
      </c>
    </row>
    <row r="6" spans="1:3" x14ac:dyDescent="0.35">
      <c r="A6" s="16">
        <v>46269</v>
      </c>
    </row>
    <row r="7" spans="1:3" x14ac:dyDescent="0.35">
      <c r="A7" s="16">
        <v>46270</v>
      </c>
    </row>
    <row r="8" spans="1:3" x14ac:dyDescent="0.35">
      <c r="A8" s="16">
        <v>46271</v>
      </c>
    </row>
    <row r="9" spans="1:3" x14ac:dyDescent="0.35">
      <c r="A9" s="16">
        <v>46272</v>
      </c>
    </row>
  </sheetData>
  <conditionalFormatting sqref="B2:B29">
    <cfRule type="cellIs" dxfId="3" priority="4" operator="equal">
      <formula>"Technical"</formula>
    </cfRule>
    <cfRule type="cellIs" dxfId="2" priority="3" operator="equal">
      <formula>"Visual"</formula>
    </cfRule>
  </conditionalFormatting>
  <conditionalFormatting sqref="B2:B20">
    <cfRule type="cellIs" dxfId="1" priority="2" operator="equal">
      <formula>"Errors"</formula>
    </cfRule>
    <cfRule type="cellIs" dxfId="0" priority="1" operator="equal">
      <formula>"Other"</formula>
    </cfRule>
  </conditionalFormatting>
  <dataValidations count="1">
    <dataValidation type="list" allowBlank="1" showInputMessage="1" showErrorMessage="1" sqref="B2:B9" xr:uid="{2085CA7C-7C28-4EAF-958A-B6AF6B318957}">
      <formula1>"Technical,  Visual,  Errors, Other"</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64A50-B118-42E7-9DE4-7933AF768DB1}">
  <dimension ref="A1"/>
  <sheetViews>
    <sheetView workbookViewId="0">
      <selection activeCell="J31" sqref="J31"/>
    </sheetView>
  </sheetViews>
  <sheetFormatPr defaultRowHeight="14.5" x14ac:dyDescent="0.35"/>
  <cols>
    <col min="1" max="1" width="8.7265625" customWidth="1"/>
  </cols>
  <sheetData/>
  <sheetProtection algorithmName="SHA-512" hashValue="lCiR5oQf89HUEYckpaIDJ3jZEVLYTEziq/WnI3AMJfdDeO/5IvvxfOBh4ULZhG6bePELLUQsfXleXTWgUHP9jA==" saltValue="fKNmr9WpRf1cu5jy+uvzCg==" spinCount="100000"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Chart</vt:lpstr>
      <vt:lpstr>Feedback</vt:lpstr>
      <vt:lpstr>License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Klinger</dc:creator>
  <cp:lastModifiedBy>Jakub Klinger</cp:lastModifiedBy>
  <dcterms:created xsi:type="dcterms:W3CDTF">2026-09-01T20:03:19Z</dcterms:created>
  <dcterms:modified xsi:type="dcterms:W3CDTF">2026-09-03T17:50:56Z</dcterms:modified>
</cp:coreProperties>
</file>